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cuba281/Documents/alic-2/Data/"/>
    </mc:Choice>
  </mc:AlternateContent>
  <xr:revisionPtr revIDLastSave="0" documentId="13_ncr:1_{30ED8E5A-9A4C-6449-BE2D-998297BAECC4}" xr6:coauthVersionLast="47" xr6:coauthVersionMax="47" xr10:uidLastSave="{00000000-0000-0000-0000-000000000000}"/>
  <bookViews>
    <workbookView xWindow="-30420" yWindow="2720" windowWidth="3024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2" i="1"/>
</calcChain>
</file>

<file path=xl/sharedStrings.xml><?xml version="1.0" encoding="utf-8"?>
<sst xmlns="http://schemas.openxmlformats.org/spreadsheetml/2006/main" count="104" uniqueCount="68">
  <si>
    <t>Area</t>
  </si>
  <si>
    <t>Unit</t>
  </si>
  <si>
    <t>SamplingPoint</t>
  </si>
  <si>
    <t>Product</t>
  </si>
  <si>
    <t>Analysis</t>
  </si>
  <si>
    <t>LabResult/Tagname</t>
  </si>
  <si>
    <t>Analyser/Tagname</t>
  </si>
  <si>
    <t>LabResult</t>
  </si>
  <si>
    <t>Analyser/Inf</t>
  </si>
  <si>
    <t>CDU</t>
  </si>
  <si>
    <t>CDU3</t>
  </si>
  <si>
    <t>AT1906</t>
  </si>
  <si>
    <t>Caustic</t>
  </si>
  <si>
    <t>pH</t>
  </si>
  <si>
    <t>1A1-PH</t>
  </si>
  <si>
    <t>1A1</t>
  </si>
  <si>
    <t>CDU4</t>
  </si>
  <si>
    <t>A1300FPC</t>
  </si>
  <si>
    <t>Kero3</t>
  </si>
  <si>
    <t>Flashpoint</t>
  </si>
  <si>
    <t>3A1-FLSH</t>
  </si>
  <si>
    <t>3A1</t>
  </si>
  <si>
    <t>AIZ1003</t>
  </si>
  <si>
    <t>LGO4</t>
  </si>
  <si>
    <t>Cloudpoint</t>
  </si>
  <si>
    <t>4AIZ_CLOUD</t>
  </si>
  <si>
    <t>4AIZ</t>
  </si>
  <si>
    <t>AI1017</t>
  </si>
  <si>
    <t>LGO3</t>
  </si>
  <si>
    <t>Density</t>
  </si>
  <si>
    <t>3AI_DENS</t>
  </si>
  <si>
    <t>3AI</t>
  </si>
  <si>
    <t>AI1016A</t>
  </si>
  <si>
    <t>SRB3/N3</t>
  </si>
  <si>
    <t>90pct</t>
  </si>
  <si>
    <t>3AI_90PCT</t>
  </si>
  <si>
    <t>AI3002</t>
  </si>
  <si>
    <t>Reformate Feed</t>
  </si>
  <si>
    <t>5AI_DENS</t>
  </si>
  <si>
    <t>5AI</t>
  </si>
  <si>
    <t>AI3005</t>
  </si>
  <si>
    <t>SRG4</t>
  </si>
  <si>
    <t>RVP</t>
  </si>
  <si>
    <t>4AI_RVP</t>
  </si>
  <si>
    <t>4AI</t>
  </si>
  <si>
    <t>AIZ3004</t>
  </si>
  <si>
    <t>Kero4</t>
  </si>
  <si>
    <t>AI3003A</t>
  </si>
  <si>
    <t>HGO4</t>
  </si>
  <si>
    <t>Color</t>
  </si>
  <si>
    <t>5AI_COL</t>
  </si>
  <si>
    <t>AI3001D</t>
  </si>
  <si>
    <t>O/H Water</t>
  </si>
  <si>
    <t>4AI_PH</t>
  </si>
  <si>
    <t>SS-AI38B300</t>
  </si>
  <si>
    <t>SC38014_RVP</t>
  </si>
  <si>
    <t>SS-AI38B300-BPR_psi</t>
  </si>
  <si>
    <t>SS-AI38A300</t>
  </si>
  <si>
    <t>SC38012_RVP</t>
  </si>
  <si>
    <t>SS-AI38A300-BPR_psi</t>
  </si>
  <si>
    <t>Timestamp</t>
  </si>
  <si>
    <t>AI3001F</t>
  </si>
  <si>
    <t>TSP</t>
  </si>
  <si>
    <t>1QI1202B.LAB_PH_OSA SENSOR TSP</t>
  </si>
  <si>
    <t>1QI1202B SENSOR TSP</t>
  </si>
  <si>
    <t>Deviation</t>
  </si>
  <si>
    <t>DeltaMAX</t>
  </si>
  <si>
    <t>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</si>
</sst>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E1" zoomScale="176" workbookViewId="0">
      <selection activeCell="M2" sqref="M2:M14"/>
    </sheetView>
  </sheetViews>
  <sheetFormatPr baseColWidth="10" defaultColWidth="8.83203125" defaultRowHeight="15" x14ac:dyDescent="0.2"/>
  <cols>
    <col min="1" max="1" width="11.5" customWidth="1"/>
    <col min="2" max="2" width="12.6640625" customWidth="1"/>
    <col min="3" max="3" width="14.83203125" customWidth="1"/>
    <col min="4" max="4" width="12.83203125" bestFit="1" customWidth="1"/>
    <col min="5" max="5" width="9.83203125" bestFit="1" customWidth="1"/>
    <col min="6" max="6" width="28.6640625" bestFit="1" customWidth="1"/>
    <col min="7" max="7" width="17.5" bestFit="1" customWidth="1"/>
    <col min="8" max="8" width="17.5" customWidth="1"/>
    <col min="9" max="9" width="8.6640625" bestFit="1" customWidth="1"/>
    <col min="10" max="10" width="10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65</v>
      </c>
      <c r="L1" s="1" t="s">
        <v>66</v>
      </c>
      <c r="M1" s="1" t="s">
        <v>67</v>
      </c>
    </row>
    <row r="2" spans="1:13" x14ac:dyDescent="0.2">
      <c r="A2" t="s">
        <v>9</v>
      </c>
      <c r="B2" t="s">
        <v>10</v>
      </c>
      <c r="C2" t="s">
        <v>54</v>
      </c>
      <c r="D2" t="s">
        <v>41</v>
      </c>
      <c r="E2" t="s">
        <v>42</v>
      </c>
      <c r="F2" t="s">
        <v>55</v>
      </c>
      <c r="G2" t="s">
        <v>56</v>
      </c>
      <c r="H2" s="2">
        <v>46002</v>
      </c>
      <c r="I2">
        <v>8.8800000000000008</v>
      </c>
      <c r="J2">
        <v>8.89</v>
      </c>
      <c r="K2">
        <f>+J2-I2</f>
        <v>9.9999999999997868E-3</v>
      </c>
      <c r="L2">
        <v>1</v>
      </c>
      <c r="M2" t="str">
        <f>IF(ABS(K2)&gt;L2,"Alert", "Normal")</f>
        <v>Normal</v>
      </c>
    </row>
    <row r="3" spans="1:13" x14ac:dyDescent="0.2">
      <c r="A3" t="s">
        <v>9</v>
      </c>
      <c r="B3" t="s">
        <v>16</v>
      </c>
      <c r="C3" t="s">
        <v>57</v>
      </c>
      <c r="D3" t="s">
        <v>41</v>
      </c>
      <c r="E3" t="s">
        <v>42</v>
      </c>
      <c r="F3" t="s">
        <v>58</v>
      </c>
      <c r="G3" t="s">
        <v>59</v>
      </c>
      <c r="H3" s="2">
        <v>46003</v>
      </c>
      <c r="I3">
        <v>8.7899999999999991</v>
      </c>
      <c r="J3">
        <v>8.8800000000000008</v>
      </c>
      <c r="K3">
        <f t="shared" ref="K3:K14" si="0">+J3-I3</f>
        <v>9.0000000000001634E-2</v>
      </c>
      <c r="L3">
        <v>1</v>
      </c>
      <c r="M3" t="str">
        <f t="shared" ref="M3:M14" si="1">IF(ABS(K3)&gt;L3,"Alert", "Normal")</f>
        <v>Normal</v>
      </c>
    </row>
    <row r="4" spans="1:13" x14ac:dyDescent="0.2">
      <c r="A4" t="s">
        <v>9</v>
      </c>
      <c r="B4" t="s">
        <v>16</v>
      </c>
      <c r="C4" t="s">
        <v>61</v>
      </c>
      <c r="D4" t="s">
        <v>62</v>
      </c>
      <c r="E4" t="s">
        <v>62</v>
      </c>
      <c r="F4" t="s">
        <v>63</v>
      </c>
      <c r="G4" t="s">
        <v>64</v>
      </c>
      <c r="H4" s="2">
        <v>46003</v>
      </c>
      <c r="I4">
        <v>8.7899999999999991</v>
      </c>
      <c r="J4">
        <v>7.9</v>
      </c>
      <c r="K4">
        <f t="shared" si="0"/>
        <v>-0.88999999999999879</v>
      </c>
      <c r="L4">
        <v>1</v>
      </c>
      <c r="M4" t="str">
        <f t="shared" si="1"/>
        <v>Normal</v>
      </c>
    </row>
    <row r="5" spans="1:13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s="2">
        <v>45992</v>
      </c>
      <c r="I5">
        <v>9.3000000000000007</v>
      </c>
      <c r="J5">
        <v>8.6</v>
      </c>
      <c r="K5">
        <f t="shared" si="0"/>
        <v>-0.70000000000000107</v>
      </c>
      <c r="L5">
        <v>1</v>
      </c>
      <c r="M5" t="str">
        <f t="shared" si="1"/>
        <v>Normal</v>
      </c>
    </row>
    <row r="6" spans="1:13" x14ac:dyDescent="0.2">
      <c r="A6" t="s">
        <v>9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s="2">
        <v>45993</v>
      </c>
      <c r="I6">
        <v>39</v>
      </c>
      <c r="J6">
        <v>37.1</v>
      </c>
      <c r="K6">
        <f t="shared" si="0"/>
        <v>-1.8999999999999986</v>
      </c>
      <c r="L6">
        <v>1</v>
      </c>
      <c r="M6" t="str">
        <f t="shared" si="1"/>
        <v>Alert</v>
      </c>
    </row>
    <row r="7" spans="1:13" x14ac:dyDescent="0.2">
      <c r="A7" t="s">
        <v>9</v>
      </c>
      <c r="B7" t="s">
        <v>10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s="2">
        <v>45994</v>
      </c>
      <c r="I7">
        <v>-5.7</v>
      </c>
      <c r="J7">
        <v>-20</v>
      </c>
      <c r="K7">
        <f t="shared" si="0"/>
        <v>-14.3</v>
      </c>
      <c r="L7">
        <v>1</v>
      </c>
      <c r="M7" t="str">
        <f t="shared" si="1"/>
        <v>Alert</v>
      </c>
    </row>
    <row r="8" spans="1:13" x14ac:dyDescent="0.2">
      <c r="A8" t="s">
        <v>9</v>
      </c>
      <c r="B8" t="s">
        <v>16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s="2">
        <v>45995</v>
      </c>
      <c r="I8">
        <v>854.2</v>
      </c>
      <c r="J8">
        <v>856.7</v>
      </c>
      <c r="K8">
        <f t="shared" si="0"/>
        <v>2.5</v>
      </c>
      <c r="L8">
        <v>1</v>
      </c>
      <c r="M8" t="str">
        <f t="shared" si="1"/>
        <v>Alert</v>
      </c>
    </row>
    <row r="9" spans="1:13" x14ac:dyDescent="0.2">
      <c r="A9" t="s">
        <v>9</v>
      </c>
      <c r="B9" t="s">
        <v>10</v>
      </c>
      <c r="C9" t="s">
        <v>32</v>
      </c>
      <c r="D9" t="s">
        <v>33</v>
      </c>
      <c r="E9" t="s">
        <v>34</v>
      </c>
      <c r="F9" t="s">
        <v>35</v>
      </c>
      <c r="G9" t="s">
        <v>31</v>
      </c>
      <c r="H9" s="2">
        <v>45996</v>
      </c>
      <c r="I9">
        <v>118.6</v>
      </c>
      <c r="J9">
        <v>120.6</v>
      </c>
      <c r="K9">
        <f t="shared" si="0"/>
        <v>2</v>
      </c>
      <c r="L9">
        <v>1</v>
      </c>
      <c r="M9" t="str">
        <f t="shared" si="1"/>
        <v>Alert</v>
      </c>
    </row>
    <row r="10" spans="1:13" x14ac:dyDescent="0.2">
      <c r="A10" t="s">
        <v>9</v>
      </c>
      <c r="B10" t="s">
        <v>16</v>
      </c>
      <c r="C10" t="s">
        <v>36</v>
      </c>
      <c r="D10" t="s">
        <v>37</v>
      </c>
      <c r="E10" t="s">
        <v>29</v>
      </c>
      <c r="F10" t="s">
        <v>38</v>
      </c>
      <c r="G10" t="s">
        <v>39</v>
      </c>
      <c r="H10" s="2">
        <v>45997</v>
      </c>
      <c r="I10">
        <v>747.2</v>
      </c>
      <c r="J10">
        <v>746.6</v>
      </c>
      <c r="K10">
        <f t="shared" si="0"/>
        <v>-0.60000000000002274</v>
      </c>
      <c r="L10">
        <v>1</v>
      </c>
      <c r="M10" t="str">
        <f t="shared" si="1"/>
        <v>Normal</v>
      </c>
    </row>
    <row r="11" spans="1:13" x14ac:dyDescent="0.2">
      <c r="A11" t="s">
        <v>9</v>
      </c>
      <c r="B11" t="s">
        <v>10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s="2">
        <v>45998</v>
      </c>
      <c r="I11">
        <v>0.65400000000000003</v>
      </c>
      <c r="J11">
        <v>0.63300000000000001</v>
      </c>
      <c r="K11">
        <f t="shared" si="0"/>
        <v>-2.1000000000000019E-2</v>
      </c>
      <c r="L11">
        <v>1</v>
      </c>
      <c r="M11" t="str">
        <f t="shared" si="1"/>
        <v>Normal</v>
      </c>
    </row>
    <row r="12" spans="1:13" x14ac:dyDescent="0.2">
      <c r="A12" t="s">
        <v>9</v>
      </c>
      <c r="B12" t="s">
        <v>16</v>
      </c>
      <c r="C12" t="s">
        <v>45</v>
      </c>
      <c r="D12" t="s">
        <v>46</v>
      </c>
      <c r="E12" t="s">
        <v>29</v>
      </c>
      <c r="F12" t="s">
        <v>30</v>
      </c>
      <c r="G12" t="s">
        <v>31</v>
      </c>
      <c r="H12" s="2">
        <v>45999</v>
      </c>
      <c r="I12">
        <v>794.4</v>
      </c>
      <c r="J12">
        <v>794.5</v>
      </c>
      <c r="K12">
        <f t="shared" si="0"/>
        <v>0.10000000000002274</v>
      </c>
      <c r="L12">
        <v>1</v>
      </c>
      <c r="M12" t="str">
        <f t="shared" si="1"/>
        <v>Normal</v>
      </c>
    </row>
    <row r="13" spans="1:13" x14ac:dyDescent="0.2">
      <c r="A13" t="s">
        <v>9</v>
      </c>
      <c r="B13" t="s">
        <v>10</v>
      </c>
      <c r="C13" t="s">
        <v>47</v>
      </c>
      <c r="D13" t="s">
        <v>48</v>
      </c>
      <c r="E13" t="s">
        <v>49</v>
      </c>
      <c r="F13" t="s">
        <v>50</v>
      </c>
      <c r="G13" t="s">
        <v>39</v>
      </c>
      <c r="H13" s="2">
        <v>46000</v>
      </c>
      <c r="I13">
        <v>2</v>
      </c>
      <c r="J13">
        <v>2.4</v>
      </c>
      <c r="K13">
        <f t="shared" si="0"/>
        <v>0.39999999999999991</v>
      </c>
      <c r="L13">
        <v>1</v>
      </c>
      <c r="M13" t="str">
        <f t="shared" si="1"/>
        <v>Normal</v>
      </c>
    </row>
    <row r="14" spans="1:13" x14ac:dyDescent="0.2">
      <c r="A14" t="s">
        <v>9</v>
      </c>
      <c r="B14" t="s">
        <v>16</v>
      </c>
      <c r="C14" t="s">
        <v>51</v>
      </c>
      <c r="D14" t="s">
        <v>52</v>
      </c>
      <c r="E14" t="s">
        <v>13</v>
      </c>
      <c r="F14" t="s">
        <v>53</v>
      </c>
      <c r="G14" t="s">
        <v>44</v>
      </c>
      <c r="H14" s="2">
        <v>46001</v>
      </c>
      <c r="I14">
        <v>7.4</v>
      </c>
      <c r="J14">
        <v>7.3</v>
      </c>
      <c r="K14">
        <f t="shared" si="0"/>
        <v>-0.10000000000000053</v>
      </c>
      <c r="L14">
        <v>1</v>
      </c>
      <c r="M14" t="str">
        <f t="shared" si="1"/>
        <v>Normal</v>
      </c>
    </row>
    <row r="16" spans="1:13" ht="16" x14ac:dyDescent="0.2">
      <c r="G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Elengical, Steve</cp:lastModifiedBy>
  <dcterms:created xsi:type="dcterms:W3CDTF">2025-12-15T18:21:40Z</dcterms:created>
  <dcterms:modified xsi:type="dcterms:W3CDTF">2025-12-27T20:57:55Z</dcterms:modified>
</cp:coreProperties>
</file>