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scuba281/Documents/ALI-C/Data/"/>
    </mc:Choice>
  </mc:AlternateContent>
  <xr:revisionPtr revIDLastSave="0" documentId="13_ncr:1_{43DA63A1-558E-3843-8D98-2AFC73333071}" xr6:coauthVersionLast="47" xr6:coauthVersionMax="47" xr10:uidLastSave="{00000000-0000-0000-0000-000000000000}"/>
  <bookViews>
    <workbookView xWindow="0" yWindow="740" windowWidth="30240" windowHeight="18900" tabRatio="500" xr2:uid="{00000000-000D-0000-FFFF-FFFF00000000}"/>
  </bookViews>
  <sheets>
    <sheet name="TrainB+SC38014" sheetId="1" r:id="rId1"/>
  </sheets>
  <definedNames>
    <definedName name="_xlnm._FilterDatabase" localSheetId="0" hidden="1">'TrainB+SC38014'!$A$4:$Z$235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X163" i="1" l="1"/>
  <c r="W6" i="1"/>
  <c r="X6" i="1" s="1"/>
  <c r="Y6" i="1" s="1"/>
  <c r="W5" i="1"/>
  <c r="X5" i="1" s="1"/>
  <c r="Y5" i="1" s="1"/>
  <c r="W7" i="1"/>
  <c r="X7" i="1" s="1"/>
  <c r="Y7" i="1" s="1"/>
  <c r="W8" i="1"/>
  <c r="X8" i="1" s="1"/>
  <c r="Y8" i="1" s="1"/>
  <c r="W9" i="1"/>
  <c r="X9" i="1" s="1"/>
  <c r="Y9" i="1" s="1"/>
  <c r="W10" i="1"/>
  <c r="X10" i="1" s="1"/>
  <c r="Y10" i="1" s="1"/>
  <c r="W11" i="1"/>
  <c r="X11" i="1" s="1"/>
  <c r="Y11" i="1" s="1"/>
  <c r="W12" i="1"/>
  <c r="X12" i="1" s="1"/>
  <c r="W13" i="1"/>
  <c r="X13" i="1" s="1"/>
  <c r="W14" i="1"/>
  <c r="X14" i="1" s="1"/>
  <c r="W15" i="1"/>
  <c r="X15" i="1" s="1"/>
  <c r="W16" i="1"/>
  <c r="X16" i="1" s="1"/>
  <c r="W17" i="1"/>
  <c r="X17" i="1" s="1"/>
  <c r="W18" i="1"/>
  <c r="X18" i="1" s="1"/>
  <c r="W19" i="1"/>
  <c r="X19" i="1" s="1"/>
  <c r="W20" i="1"/>
  <c r="X20" i="1" s="1"/>
  <c r="W21" i="1"/>
  <c r="X21" i="1" s="1"/>
  <c r="Y21" i="1" s="1"/>
  <c r="W22" i="1"/>
  <c r="X22" i="1" s="1"/>
  <c r="Y22" i="1" s="1"/>
  <c r="W23" i="1"/>
  <c r="X23" i="1" s="1"/>
  <c r="Y23" i="1" s="1"/>
  <c r="W24" i="1"/>
  <c r="X24" i="1" s="1"/>
  <c r="Y24" i="1" s="1"/>
  <c r="W25" i="1"/>
  <c r="X25" i="1" s="1"/>
  <c r="Y25" i="1" s="1"/>
  <c r="W26" i="1"/>
  <c r="X26" i="1" s="1"/>
  <c r="Y26" i="1" s="1"/>
  <c r="W27" i="1"/>
  <c r="X27" i="1" s="1"/>
  <c r="Y27" i="1" s="1"/>
  <c r="W28" i="1"/>
  <c r="X28" i="1" s="1"/>
  <c r="Y28" i="1" s="1"/>
  <c r="W29" i="1"/>
  <c r="X29" i="1" s="1"/>
  <c r="Y29" i="1" s="1"/>
  <c r="W30" i="1"/>
  <c r="X30" i="1" s="1"/>
  <c r="Y30" i="1" s="1"/>
  <c r="W31" i="1"/>
  <c r="X31" i="1" s="1"/>
  <c r="Y31" i="1" s="1"/>
  <c r="W32" i="1"/>
  <c r="X32" i="1" s="1"/>
  <c r="Y32" i="1" s="1"/>
  <c r="W33" i="1"/>
  <c r="X33" i="1" s="1"/>
  <c r="Y33" i="1" s="1"/>
  <c r="W34" i="1"/>
  <c r="X34" i="1" s="1"/>
  <c r="Y34" i="1" s="1"/>
  <c r="W35" i="1"/>
  <c r="X35" i="1" s="1"/>
  <c r="Y35" i="1" s="1"/>
  <c r="W36" i="1"/>
  <c r="X36" i="1" s="1"/>
  <c r="Y36" i="1" s="1"/>
  <c r="W37" i="1"/>
  <c r="X37" i="1" s="1"/>
  <c r="Y37" i="1" s="1"/>
  <c r="W38" i="1"/>
  <c r="X38" i="1" s="1"/>
  <c r="Y38" i="1" s="1"/>
  <c r="W39" i="1"/>
  <c r="X39" i="1" s="1"/>
  <c r="Y39" i="1" s="1"/>
  <c r="W40" i="1"/>
  <c r="X40" i="1" s="1"/>
  <c r="Y40" i="1" s="1"/>
  <c r="W41" i="1"/>
  <c r="X41" i="1" s="1"/>
  <c r="Y41" i="1" s="1"/>
  <c r="W42" i="1"/>
  <c r="X42" i="1" s="1"/>
  <c r="Y42" i="1" s="1"/>
  <c r="W43" i="1"/>
  <c r="X43" i="1" s="1"/>
  <c r="Y43" i="1" s="1"/>
  <c r="W44" i="1"/>
  <c r="X44" i="1" s="1"/>
  <c r="Y44" i="1" s="1"/>
  <c r="W45" i="1"/>
  <c r="X45" i="1" s="1"/>
  <c r="Y45" i="1" s="1"/>
  <c r="W46" i="1"/>
  <c r="X46" i="1" s="1"/>
  <c r="Y46" i="1" s="1"/>
  <c r="W47" i="1"/>
  <c r="X47" i="1" s="1"/>
  <c r="Y47" i="1" s="1"/>
  <c r="W48" i="1"/>
  <c r="X48" i="1" s="1"/>
  <c r="Y48" i="1" s="1"/>
  <c r="W49" i="1"/>
  <c r="X49" i="1" s="1"/>
  <c r="Y49" i="1" s="1"/>
  <c r="W50" i="1"/>
  <c r="X50" i="1" s="1"/>
  <c r="Y50" i="1" s="1"/>
  <c r="W51" i="1"/>
  <c r="X51" i="1" s="1"/>
  <c r="Y51" i="1" s="1"/>
  <c r="W52" i="1"/>
  <c r="X52" i="1" s="1"/>
  <c r="Y52" i="1" s="1"/>
  <c r="W53" i="1"/>
  <c r="X53" i="1" s="1"/>
  <c r="Y53" i="1" s="1"/>
  <c r="W54" i="1"/>
  <c r="X54" i="1" s="1"/>
  <c r="Y54" i="1" s="1"/>
  <c r="W55" i="1"/>
  <c r="X55" i="1" s="1"/>
  <c r="Y55" i="1" s="1"/>
  <c r="W56" i="1"/>
  <c r="X56" i="1" s="1"/>
  <c r="Y56" i="1" s="1"/>
  <c r="W57" i="1"/>
  <c r="X57" i="1" s="1"/>
  <c r="Y57" i="1" s="1"/>
  <c r="W58" i="1"/>
  <c r="X58" i="1" s="1"/>
  <c r="Y58" i="1" s="1"/>
  <c r="W59" i="1"/>
  <c r="X59" i="1" s="1"/>
  <c r="Y59" i="1" s="1"/>
  <c r="W60" i="1"/>
  <c r="X60" i="1" s="1"/>
  <c r="Y60" i="1" s="1"/>
  <c r="W61" i="1"/>
  <c r="X61" i="1" s="1"/>
  <c r="Y61" i="1" s="1"/>
  <c r="W62" i="1"/>
  <c r="X62" i="1" s="1"/>
  <c r="Y62" i="1" s="1"/>
  <c r="W63" i="1"/>
  <c r="X63" i="1" s="1"/>
  <c r="Y63" i="1" s="1"/>
  <c r="W64" i="1"/>
  <c r="X64" i="1" s="1"/>
  <c r="Y64" i="1" s="1"/>
  <c r="W65" i="1"/>
  <c r="X65" i="1" s="1"/>
  <c r="Y65" i="1" s="1"/>
  <c r="W66" i="1"/>
  <c r="X66" i="1" s="1"/>
  <c r="Y66" i="1" s="1"/>
  <c r="W67" i="1"/>
  <c r="X67" i="1" s="1"/>
  <c r="Y67" i="1" s="1"/>
  <c r="W68" i="1"/>
  <c r="X68" i="1" s="1"/>
  <c r="Y68" i="1" s="1"/>
  <c r="W69" i="1"/>
  <c r="X69" i="1" s="1"/>
  <c r="Y69" i="1" s="1"/>
  <c r="W70" i="1"/>
  <c r="X70" i="1" s="1"/>
  <c r="Y70" i="1" s="1"/>
  <c r="W71" i="1"/>
  <c r="X71" i="1" s="1"/>
  <c r="Y71" i="1" s="1"/>
  <c r="W72" i="1"/>
  <c r="X72" i="1" s="1"/>
  <c r="Y72" i="1" s="1"/>
  <c r="W73" i="1"/>
  <c r="X73" i="1" s="1"/>
  <c r="Y73" i="1" s="1"/>
  <c r="W74" i="1"/>
  <c r="X74" i="1" s="1"/>
  <c r="Y74" i="1" s="1"/>
  <c r="W75" i="1"/>
  <c r="X75" i="1" s="1"/>
  <c r="Y75" i="1" s="1"/>
  <c r="W76" i="1"/>
  <c r="X76" i="1" s="1"/>
  <c r="Y76" i="1" s="1"/>
  <c r="W77" i="1"/>
  <c r="X77" i="1" s="1"/>
  <c r="Y77" i="1" s="1"/>
  <c r="W78" i="1"/>
  <c r="X78" i="1" s="1"/>
  <c r="Y78" i="1" s="1"/>
  <c r="W79" i="1"/>
  <c r="X79" i="1" s="1"/>
  <c r="Y79" i="1" s="1"/>
  <c r="W80" i="1"/>
  <c r="X80" i="1" s="1"/>
  <c r="Y80" i="1" s="1"/>
  <c r="W81" i="1"/>
  <c r="X81" i="1" s="1"/>
  <c r="Y81" i="1" s="1"/>
  <c r="W82" i="1"/>
  <c r="X82" i="1" s="1"/>
  <c r="Y82" i="1" s="1"/>
  <c r="W83" i="1"/>
  <c r="X83" i="1" s="1"/>
  <c r="Y83" i="1" s="1"/>
  <c r="W84" i="1"/>
  <c r="X84" i="1" s="1"/>
  <c r="Y84" i="1" s="1"/>
  <c r="W85" i="1"/>
  <c r="X85" i="1" s="1"/>
  <c r="Y85" i="1" s="1"/>
  <c r="W86" i="1"/>
  <c r="X86" i="1" s="1"/>
  <c r="Y86" i="1" s="1"/>
  <c r="W87" i="1"/>
  <c r="X87" i="1" s="1"/>
  <c r="Y87" i="1" s="1"/>
  <c r="W88" i="1"/>
  <c r="X88" i="1" s="1"/>
  <c r="Y88" i="1" s="1"/>
  <c r="W89" i="1"/>
  <c r="X89" i="1" s="1"/>
  <c r="Y89" i="1" s="1"/>
  <c r="W90" i="1"/>
  <c r="X90" i="1" s="1"/>
  <c r="Y90" i="1" s="1"/>
  <c r="W91" i="1"/>
  <c r="X91" i="1" s="1"/>
  <c r="Y91" i="1" s="1"/>
  <c r="W92" i="1"/>
  <c r="X92" i="1" s="1"/>
  <c r="Y92" i="1" s="1"/>
  <c r="W93" i="1"/>
  <c r="X93" i="1" s="1"/>
  <c r="Y93" i="1" s="1"/>
  <c r="W94" i="1"/>
  <c r="X94" i="1" s="1"/>
  <c r="Y94" i="1" s="1"/>
  <c r="W95" i="1"/>
  <c r="X95" i="1" s="1"/>
  <c r="Y95" i="1" s="1"/>
  <c r="W96" i="1"/>
  <c r="X96" i="1" s="1"/>
  <c r="Y96" i="1" s="1"/>
  <c r="W97" i="1"/>
  <c r="X97" i="1" s="1"/>
  <c r="Y97" i="1" s="1"/>
  <c r="W98" i="1"/>
  <c r="X98" i="1" s="1"/>
  <c r="Y98" i="1" s="1"/>
  <c r="W99" i="1"/>
  <c r="X99" i="1" s="1"/>
  <c r="Y99" i="1" s="1"/>
  <c r="W100" i="1"/>
  <c r="X100" i="1" s="1"/>
  <c r="Y100" i="1" s="1"/>
  <c r="W101" i="1"/>
  <c r="X101" i="1" s="1"/>
  <c r="Y101" i="1" s="1"/>
  <c r="W102" i="1"/>
  <c r="X102" i="1" s="1"/>
  <c r="Y102" i="1" s="1"/>
  <c r="W103" i="1"/>
  <c r="X103" i="1" s="1"/>
  <c r="Y103" i="1" s="1"/>
  <c r="W104" i="1"/>
  <c r="X104" i="1" s="1"/>
  <c r="Y104" i="1" s="1"/>
  <c r="W105" i="1"/>
  <c r="X105" i="1" s="1"/>
  <c r="Y105" i="1" s="1"/>
  <c r="W106" i="1"/>
  <c r="X106" i="1" s="1"/>
  <c r="Y106" i="1" s="1"/>
  <c r="W107" i="1"/>
  <c r="X107" i="1" s="1"/>
  <c r="Y107" i="1" s="1"/>
  <c r="W108" i="1"/>
  <c r="X108" i="1" s="1"/>
  <c r="Y108" i="1" s="1"/>
  <c r="W109" i="1"/>
  <c r="X109" i="1" s="1"/>
  <c r="Y109" i="1" s="1"/>
  <c r="W110" i="1"/>
  <c r="X110" i="1" s="1"/>
  <c r="Y110" i="1" s="1"/>
  <c r="W111" i="1"/>
  <c r="X111" i="1" s="1"/>
  <c r="Y111" i="1" s="1"/>
  <c r="W112" i="1"/>
  <c r="X112" i="1" s="1"/>
  <c r="Y112" i="1" s="1"/>
  <c r="W113" i="1"/>
  <c r="X113" i="1" s="1"/>
  <c r="Y113" i="1" s="1"/>
  <c r="W114" i="1"/>
  <c r="X114" i="1" s="1"/>
  <c r="Y114" i="1" s="1"/>
  <c r="W115" i="1"/>
  <c r="X115" i="1" s="1"/>
  <c r="Y115" i="1" s="1"/>
  <c r="W116" i="1"/>
  <c r="X116" i="1" s="1"/>
  <c r="Y116" i="1" s="1"/>
  <c r="W117" i="1"/>
  <c r="X117" i="1" s="1"/>
  <c r="Y117" i="1" s="1"/>
  <c r="W118" i="1"/>
  <c r="X118" i="1" s="1"/>
  <c r="Y118" i="1" s="1"/>
  <c r="W119" i="1"/>
  <c r="X119" i="1" s="1"/>
  <c r="Y119" i="1" s="1"/>
  <c r="W120" i="1"/>
  <c r="X120" i="1" s="1"/>
  <c r="Y120" i="1" s="1"/>
  <c r="W121" i="1"/>
  <c r="X121" i="1" s="1"/>
  <c r="Y121" i="1" s="1"/>
  <c r="W122" i="1"/>
  <c r="X122" i="1" s="1"/>
  <c r="Y122" i="1" s="1"/>
  <c r="W123" i="1"/>
  <c r="X123" i="1" s="1"/>
  <c r="Y123" i="1" s="1"/>
  <c r="W124" i="1"/>
  <c r="X124" i="1" s="1"/>
  <c r="Y124" i="1" s="1"/>
  <c r="W125" i="1"/>
  <c r="X125" i="1" s="1"/>
  <c r="Y125" i="1" s="1"/>
  <c r="W126" i="1"/>
  <c r="X126" i="1" s="1"/>
  <c r="Y126" i="1" s="1"/>
  <c r="W127" i="1"/>
  <c r="X127" i="1" s="1"/>
  <c r="Y127" i="1" s="1"/>
  <c r="W128" i="1"/>
  <c r="X128" i="1" s="1"/>
  <c r="Y128" i="1" s="1"/>
  <c r="W129" i="1"/>
  <c r="X129" i="1" s="1"/>
  <c r="Y129" i="1" s="1"/>
  <c r="W130" i="1"/>
  <c r="X130" i="1" s="1"/>
  <c r="Y130" i="1" s="1"/>
  <c r="W131" i="1"/>
  <c r="X131" i="1" s="1"/>
  <c r="Y131" i="1" s="1"/>
  <c r="W132" i="1"/>
  <c r="X132" i="1" s="1"/>
  <c r="Y132" i="1" s="1"/>
  <c r="W133" i="1"/>
  <c r="X133" i="1" s="1"/>
  <c r="Y133" i="1" s="1"/>
  <c r="W134" i="1"/>
  <c r="X134" i="1" s="1"/>
  <c r="Y134" i="1" s="1"/>
  <c r="W135" i="1"/>
  <c r="X135" i="1" s="1"/>
  <c r="Y135" i="1" s="1"/>
  <c r="W136" i="1"/>
  <c r="X136" i="1" s="1"/>
  <c r="Y136" i="1" s="1"/>
  <c r="W137" i="1"/>
  <c r="X137" i="1" s="1"/>
  <c r="Y137" i="1" s="1"/>
  <c r="W138" i="1"/>
  <c r="X138" i="1" s="1"/>
  <c r="Y138" i="1" s="1"/>
  <c r="W139" i="1"/>
  <c r="X139" i="1" s="1"/>
  <c r="Y139" i="1" s="1"/>
  <c r="W140" i="1"/>
  <c r="X140" i="1" s="1"/>
  <c r="Y140" i="1" s="1"/>
  <c r="W141" i="1"/>
  <c r="X141" i="1" s="1"/>
  <c r="Y141" i="1" s="1"/>
  <c r="W142" i="1"/>
  <c r="X142" i="1" s="1"/>
  <c r="Y142" i="1" s="1"/>
  <c r="W143" i="1"/>
  <c r="X143" i="1" s="1"/>
  <c r="Y143" i="1" s="1"/>
  <c r="W144" i="1"/>
  <c r="X144" i="1" s="1"/>
  <c r="Y144" i="1" s="1"/>
  <c r="W145" i="1"/>
  <c r="X145" i="1" s="1"/>
  <c r="Y145" i="1" s="1"/>
  <c r="W146" i="1"/>
  <c r="X146" i="1" s="1"/>
  <c r="Y146" i="1" s="1"/>
  <c r="W147" i="1"/>
  <c r="X147" i="1" s="1"/>
  <c r="Y147" i="1" s="1"/>
  <c r="W148" i="1"/>
  <c r="X148" i="1" s="1"/>
  <c r="Y148" i="1" s="1"/>
  <c r="W149" i="1"/>
  <c r="X149" i="1" s="1"/>
  <c r="Y149" i="1" s="1"/>
  <c r="W150" i="1"/>
  <c r="X150" i="1" s="1"/>
  <c r="Y150" i="1" s="1"/>
  <c r="W151" i="1"/>
  <c r="X151" i="1" s="1"/>
  <c r="Y151" i="1" s="1"/>
  <c r="W152" i="1"/>
  <c r="X152" i="1" s="1"/>
  <c r="Y152" i="1" s="1"/>
  <c r="W153" i="1"/>
  <c r="X153" i="1" s="1"/>
  <c r="Y153" i="1" s="1"/>
  <c r="W154" i="1"/>
  <c r="X154" i="1" s="1"/>
  <c r="Y154" i="1" s="1"/>
  <c r="W155" i="1"/>
  <c r="X155" i="1" s="1"/>
  <c r="Y155" i="1" s="1"/>
  <c r="W156" i="1"/>
  <c r="X156" i="1" s="1"/>
  <c r="Y156" i="1" s="1"/>
  <c r="W157" i="1"/>
  <c r="X157" i="1" s="1"/>
  <c r="Y157" i="1" s="1"/>
  <c r="W158" i="1"/>
  <c r="X158" i="1" s="1"/>
  <c r="Y158" i="1" s="1"/>
  <c r="W159" i="1"/>
  <c r="X159" i="1" s="1"/>
  <c r="Y159" i="1" s="1"/>
  <c r="W160" i="1"/>
  <c r="X160" i="1" s="1"/>
  <c r="Y160" i="1" s="1"/>
  <c r="W161" i="1"/>
  <c r="X161" i="1" s="1"/>
  <c r="Y161" i="1" s="1"/>
  <c r="W162" i="1"/>
  <c r="X162" i="1" s="1"/>
  <c r="Y162" i="1" s="1"/>
  <c r="W163" i="1"/>
  <c r="Y163" i="1" s="1"/>
  <c r="W164" i="1"/>
  <c r="X164" i="1" s="1"/>
  <c r="Y164" i="1" s="1"/>
  <c r="W165" i="1"/>
  <c r="X165" i="1" s="1"/>
  <c r="Y165" i="1" s="1"/>
  <c r="W166" i="1"/>
  <c r="X166" i="1" s="1"/>
  <c r="Y166" i="1" s="1"/>
  <c r="W167" i="1"/>
  <c r="X167" i="1" s="1"/>
  <c r="Y167" i="1" s="1"/>
  <c r="W168" i="1"/>
  <c r="X168" i="1" s="1"/>
  <c r="Y168" i="1" s="1"/>
  <c r="W169" i="1"/>
  <c r="X169" i="1" s="1"/>
  <c r="Y169" i="1" s="1"/>
  <c r="W170" i="1"/>
  <c r="X170" i="1" s="1"/>
  <c r="Y170" i="1" s="1"/>
  <c r="W171" i="1"/>
  <c r="X171" i="1" s="1"/>
  <c r="Y171" i="1" s="1"/>
  <c r="W172" i="1"/>
  <c r="X172" i="1" s="1"/>
  <c r="Y172" i="1" s="1"/>
  <c r="W173" i="1"/>
  <c r="X173" i="1" s="1"/>
  <c r="Y173" i="1" s="1"/>
  <c r="W174" i="1"/>
  <c r="X174" i="1" s="1"/>
  <c r="Y174" i="1" s="1"/>
  <c r="W175" i="1"/>
  <c r="X175" i="1" s="1"/>
  <c r="Y175" i="1" s="1"/>
  <c r="W176" i="1"/>
  <c r="X176" i="1" s="1"/>
  <c r="Y176" i="1" s="1"/>
  <c r="W177" i="1"/>
  <c r="X177" i="1" s="1"/>
  <c r="Y177" i="1" s="1"/>
  <c r="W178" i="1"/>
  <c r="X178" i="1" s="1"/>
  <c r="Y178" i="1" s="1"/>
  <c r="W179" i="1"/>
  <c r="X179" i="1" s="1"/>
  <c r="Y179" i="1" s="1"/>
  <c r="W180" i="1"/>
  <c r="X180" i="1" s="1"/>
  <c r="Y180" i="1" s="1"/>
  <c r="W181" i="1"/>
  <c r="X181" i="1" s="1"/>
  <c r="Y181" i="1" s="1"/>
  <c r="W182" i="1"/>
  <c r="X182" i="1" s="1"/>
  <c r="Y182" i="1" s="1"/>
  <c r="W183" i="1"/>
  <c r="X183" i="1" s="1"/>
  <c r="Y183" i="1" s="1"/>
  <c r="W184" i="1"/>
  <c r="X184" i="1" s="1"/>
  <c r="Y184" i="1" s="1"/>
  <c r="W185" i="1"/>
  <c r="X185" i="1" s="1"/>
  <c r="Y185" i="1" s="1"/>
  <c r="W186" i="1"/>
  <c r="X186" i="1" s="1"/>
  <c r="Y186" i="1" s="1"/>
  <c r="W187" i="1"/>
  <c r="X187" i="1" s="1"/>
  <c r="Y187" i="1" s="1"/>
  <c r="W188" i="1"/>
  <c r="X188" i="1" s="1"/>
  <c r="Y188" i="1" s="1"/>
  <c r="W189" i="1"/>
  <c r="X189" i="1" s="1"/>
  <c r="Y189" i="1" s="1"/>
  <c r="W190" i="1"/>
  <c r="X190" i="1" s="1"/>
  <c r="Y190" i="1" s="1"/>
  <c r="W191" i="1"/>
  <c r="X191" i="1" s="1"/>
  <c r="Y191" i="1" s="1"/>
  <c r="W192" i="1"/>
  <c r="X192" i="1" s="1"/>
  <c r="Y192" i="1" s="1"/>
  <c r="W193" i="1"/>
  <c r="X193" i="1" s="1"/>
  <c r="Y193" i="1" s="1"/>
  <c r="W194" i="1"/>
  <c r="X194" i="1" s="1"/>
  <c r="Y194" i="1" s="1"/>
  <c r="W195" i="1"/>
  <c r="X195" i="1" s="1"/>
  <c r="Y195" i="1" s="1"/>
  <c r="W196" i="1"/>
  <c r="X196" i="1" s="1"/>
  <c r="Y196" i="1" s="1"/>
  <c r="W197" i="1"/>
  <c r="X197" i="1" s="1"/>
  <c r="Y197" i="1" s="1"/>
  <c r="W198" i="1"/>
  <c r="X198" i="1" s="1"/>
  <c r="Y198" i="1" s="1"/>
  <c r="W199" i="1"/>
  <c r="X199" i="1" s="1"/>
  <c r="Y199" i="1" s="1"/>
  <c r="W200" i="1"/>
  <c r="X200" i="1" s="1"/>
  <c r="Y200" i="1" s="1"/>
  <c r="W201" i="1"/>
  <c r="X201" i="1" s="1"/>
  <c r="Y201" i="1" s="1"/>
  <c r="W202" i="1"/>
  <c r="X202" i="1" s="1"/>
  <c r="Y202" i="1" s="1"/>
  <c r="W203" i="1"/>
  <c r="X203" i="1" s="1"/>
  <c r="Y203" i="1" s="1"/>
  <c r="W204" i="1"/>
  <c r="X204" i="1" s="1"/>
  <c r="Y204" i="1" s="1"/>
  <c r="W205" i="1"/>
  <c r="X205" i="1" s="1"/>
  <c r="Y205" i="1" s="1"/>
  <c r="W206" i="1"/>
  <c r="X206" i="1" s="1"/>
  <c r="Y206" i="1" s="1"/>
  <c r="W207" i="1"/>
  <c r="X207" i="1" s="1"/>
  <c r="Y207" i="1" s="1"/>
  <c r="W208" i="1"/>
  <c r="X208" i="1" s="1"/>
  <c r="Y208" i="1" s="1"/>
  <c r="W209" i="1"/>
  <c r="X209" i="1" s="1"/>
  <c r="Y209" i="1" s="1"/>
  <c r="W210" i="1"/>
  <c r="X210" i="1" s="1"/>
  <c r="Y210" i="1" s="1"/>
  <c r="W211" i="1"/>
  <c r="X211" i="1" s="1"/>
  <c r="Y211" i="1" s="1"/>
  <c r="W212" i="1"/>
  <c r="X212" i="1" s="1"/>
  <c r="Y212" i="1" s="1"/>
  <c r="W213" i="1"/>
  <c r="X213" i="1" s="1"/>
  <c r="Y213" i="1" s="1"/>
  <c r="W214" i="1"/>
  <c r="X214" i="1" s="1"/>
  <c r="Y214" i="1" s="1"/>
  <c r="W215" i="1"/>
  <c r="X215" i="1" s="1"/>
  <c r="Y215" i="1" s="1"/>
  <c r="W216" i="1"/>
  <c r="X216" i="1" s="1"/>
  <c r="Y216" i="1" s="1"/>
  <c r="W217" i="1"/>
  <c r="X217" i="1" s="1"/>
  <c r="Y217" i="1" s="1"/>
  <c r="W218" i="1"/>
  <c r="X218" i="1" s="1"/>
  <c r="Y218" i="1" s="1"/>
  <c r="W219" i="1"/>
  <c r="X219" i="1" s="1"/>
  <c r="Y219" i="1" s="1"/>
  <c r="W220" i="1"/>
  <c r="X220" i="1" s="1"/>
  <c r="Y220" i="1" s="1"/>
  <c r="W221" i="1"/>
  <c r="X221" i="1" s="1"/>
  <c r="Y221" i="1" s="1"/>
  <c r="W222" i="1"/>
  <c r="X222" i="1" s="1"/>
  <c r="Y222" i="1" s="1"/>
  <c r="W223" i="1"/>
  <c r="X223" i="1" s="1"/>
  <c r="Y223" i="1" s="1"/>
  <c r="W224" i="1"/>
  <c r="X224" i="1" s="1"/>
  <c r="Y224" i="1" s="1"/>
  <c r="W225" i="1"/>
  <c r="X225" i="1" s="1"/>
  <c r="Y225" i="1" s="1"/>
  <c r="W226" i="1"/>
  <c r="X226" i="1" s="1"/>
  <c r="Y226" i="1" s="1"/>
  <c r="W227" i="1"/>
  <c r="X227" i="1" s="1"/>
  <c r="Y227" i="1" s="1"/>
  <c r="W228" i="1"/>
  <c r="X228" i="1" s="1"/>
  <c r="Y228" i="1" s="1"/>
  <c r="W229" i="1"/>
  <c r="X229" i="1" s="1"/>
  <c r="Y229" i="1" s="1"/>
  <c r="W230" i="1"/>
  <c r="X230" i="1" s="1"/>
  <c r="Y230" i="1" s="1"/>
  <c r="W231" i="1"/>
  <c r="X231" i="1" s="1"/>
  <c r="Y231" i="1" s="1"/>
  <c r="W232" i="1"/>
  <c r="X232" i="1" s="1"/>
  <c r="Y232" i="1" s="1"/>
  <c r="W233" i="1"/>
  <c r="X233" i="1" s="1"/>
  <c r="Y233" i="1" s="1"/>
  <c r="W234" i="1"/>
  <c r="X234" i="1" s="1"/>
  <c r="Y234" i="1" s="1"/>
  <c r="W235" i="1"/>
  <c r="X235" i="1" s="1"/>
  <c r="Y23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 Elengical</author>
  </authors>
  <commentList>
    <comment ref="W1" authorId="0" shapeId="0" xr:uid="{A9AB082D-2889-9F42-94BD-8D5557F1193A}">
      <text>
        <r>
          <rPr>
            <b/>
            <sz val="10"/>
            <color rgb="FF000000"/>
            <rFont val="Tahoma"/>
            <family val="2"/>
          </rPr>
          <t>Steve Elengical: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used conversion formula 1 bar = 14.50377 psi</t>
        </r>
      </text>
    </comment>
  </commentList>
</comments>
</file>

<file path=xl/sharedStrings.xml><?xml version="1.0" encoding="utf-8"?>
<sst xmlns="http://schemas.openxmlformats.org/spreadsheetml/2006/main" count="302" uniqueCount="269">
  <si>
    <t xml:space="preserve">Description </t>
  </si>
  <si>
    <t xml:space="preserve"> CONDY TO SIDE REBLR </t>
  </si>
  <si>
    <t xml:space="preserve">STABILISER COLUMN                                               </t>
  </si>
  <si>
    <t xml:space="preserve">REBLR HOT OIL ISOL                                              </t>
  </si>
  <si>
    <t xml:space="preserve"> STABR GAS TO RECOMP </t>
  </si>
  <si>
    <t xml:space="preserve">STABR GAS TO RECOMP                                             </t>
  </si>
  <si>
    <t xml:space="preserve">STABR GAS TO FLARE                                              </t>
  </si>
  <si>
    <t xml:space="preserve">STAB COL CONDY LVL                                              </t>
  </si>
  <si>
    <t xml:space="preserve">IP SEP B COND LVL                                               </t>
  </si>
  <si>
    <t>Advanced Process Control Reid Vapour Pressure Inferential AI38B300</t>
  </si>
  <si>
    <t xml:space="preserve">Units </t>
  </si>
  <si>
    <t>deg C</t>
  </si>
  <si>
    <t>mbar</t>
  </si>
  <si>
    <t>m3/h</t>
  </si>
  <si>
    <t>bar</t>
  </si>
  <si>
    <t>%</t>
  </si>
  <si>
    <t>Date</t>
  </si>
  <si>
    <t>SDT-TI38B305.AI</t>
  </si>
  <si>
    <t>SDT-PDI38B302.AI</t>
  </si>
  <si>
    <t>SDT-FI38B401.AI</t>
  </si>
  <si>
    <t>SDT-TI38B303.AI</t>
  </si>
  <si>
    <t>SDT-PIC38B303A.PV</t>
  </si>
  <si>
    <t>SDT-TI38B301.AI</t>
  </si>
  <si>
    <t>SDT-TIC38B302.PV</t>
  </si>
  <si>
    <t>SDT-PIC38B303A.OP</t>
  </si>
  <si>
    <t>SDT-PIC38B303A.SP</t>
  </si>
  <si>
    <t>SDT-TIC38B302.OP</t>
  </si>
  <si>
    <t>SDT-TIC38B302.SP</t>
  </si>
  <si>
    <t>SDT-PIC38B303B.OP</t>
  </si>
  <si>
    <t>SDT-LIC38B302.OP</t>
  </si>
  <si>
    <t>SDT-LIC38B302.SP</t>
  </si>
  <si>
    <t>SDT-LIC38B302.PV</t>
  </si>
  <si>
    <t>SDT-PIC38B303B.PV</t>
  </si>
  <si>
    <t>SDT-LIC38B102.OP2</t>
  </si>
  <si>
    <t>SDT-PIC38B303B.SP</t>
  </si>
  <si>
    <t>SS-AI38B300-BPR</t>
  </si>
  <si>
    <t>SC38014_TVP</t>
  </si>
  <si>
    <t>SC38014_RVP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</si>
  <si>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</si>
  <si>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</si>
  <si>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</si>
  <si>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</si>
  <si>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</si>
  <si>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</si>
  <si>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</si>
  <si>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</si>
  <si>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</si>
  <si>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</si>
  <si>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</si>
  <si>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</si>
  <si>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</si>
  <si>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</si>
  <si>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</si>
  <si>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</si>
  <si>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</si>
  <si>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</si>
  <si>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</si>
  <si>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</si>
  <si>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</si>
  <si>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</si>
  <si>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</si>
  <si>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</si>
  <si>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</si>
  <si>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</si>
  <si>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</si>
  <si>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</si>
  <si>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</si>
  <si>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</si>
  <si>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</si>
  <si>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</si>
  <si>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</si>
  <si>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</si>
  <si>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</si>
  <si>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</si>
  <si>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</si>
  <si>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</si>
  <si>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</si>
  <si>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</si>
  <si>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</si>
  <si>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</si>
  <si>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</si>
  <si>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</si>
  <si>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</si>
  <si>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</si>
  <si>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</si>
  <si>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</si>
  <si>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</si>
  <si>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</si>
  <si>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</si>
  <si>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</si>
  <si>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</si>
  <si>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</si>
  <si>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</si>
  <si>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</si>
  <si>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</si>
  <si>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</si>
  <si>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</si>
  <si>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</si>
  <si>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</si>
  <si>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</si>
  <si>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</si>
  <si>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</si>
  <si>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</si>
  <si>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</si>
  <si>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</si>
  <si>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</si>
  <si>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</si>
  <si>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</si>
  <si>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</si>
  <si>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</si>
  <si>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</si>
  <si>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</si>
  <si>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</si>
  <si>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</si>
  <si>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</si>
  <si>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</si>
  <si>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</si>
  <si>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</si>
  <si>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</si>
  <si>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</si>
  <si>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</si>
  <si>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</si>
  <si>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</si>
  <si>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</si>
  <si>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</si>
  <si>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</si>
  <si>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</si>
  <si>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</si>
  <si>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</si>
  <si>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</si>
  <si>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</si>
  <si>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</si>
  <si>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</si>
  <si>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</si>
  <si>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</si>
  <si>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</si>
  <si>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</si>
  <si>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</si>
  <si>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</si>
  <si>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</si>
  <si>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</si>
  <si>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</si>
  <si>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</si>
  <si>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</si>
  <si>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</si>
  <si>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</si>
  <si>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</si>
  <si>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</si>
  <si>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</si>
  <si>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</si>
  <si>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</si>
  <si>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</si>
  <si>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</si>
  <si>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</si>
  <si>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</si>
  <si>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</si>
  <si>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</si>
  <si>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</si>
  <si>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</si>
  <si>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</si>
  <si>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</si>
  <si>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</si>
  <si>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</si>
  <si>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</si>
  <si>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</si>
  <si>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</si>
  <si>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</si>
  <si>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</si>
  <si>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</si>
  <si>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</si>
  <si>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</si>
  <si>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</si>
  <si>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</si>
  <si>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</si>
  <si>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</si>
  <si>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</si>
  <si>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</si>
  <si>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</si>
  <si>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</si>
  <si>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</si>
  <si>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</si>
  <si>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</si>
  <si>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</si>
  <si>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</si>
  <si>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</si>
  <si>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</si>
  <si>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</si>
  <si>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</si>
  <si>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</si>
  <si>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</si>
  <si>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</si>
  <si>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</si>
  <si>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</si>
  <si>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</si>
  <si>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</si>
  <si>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</si>
  <si>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</si>
  <si>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</si>
  <si>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</si>
  <si>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</si>
  <si>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</si>
  <si>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</si>
  <si>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</si>
  <si>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</si>
  <si>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</si>
  <si>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</si>
  <si>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</si>
  <si>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</si>
  <si>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</si>
  <si>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</si>
  <si>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</si>
  <si>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</si>
  <si>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</si>
  <si>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</si>
  <si>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</si>
  <si>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</si>
  <si>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</si>
  <si>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</si>
  <si>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</si>
  <si>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</si>
  <si>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</si>
  <si>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</si>
  <si>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</si>
  <si>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</si>
  <si>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</si>
  <si>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</si>
  <si>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</si>
  <si>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</si>
  <si>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</si>
  <si>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</si>
  <si>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</si>
  <si>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</si>
  <si>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</si>
  <si>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</si>
  <si>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</si>
  <si>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</si>
  <si>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</si>
  <si>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</si>
  <si>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</si>
  <si>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</si>
  <si>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</si>
  <si>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</si>
  <si>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</si>
  <si>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</si>
  <si>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</si>
  <si>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</si>
  <si>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</si>
  <si>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</si>
  <si>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</si>
  <si>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</si>
  <si>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</si>
  <si>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</si>
  <si>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</si>
  <si>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</si>
  <si>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</si>
  <si>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</si>
  <si>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</si>
  <si>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</si>
  <si>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</si>
  <si>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</si>
  <si>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</si>
  <si>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TVP</t>
  </si>
  <si>
    <t>RVP</t>
  </si>
  <si>
    <t>psi</t>
  </si>
  <si>
    <t>SS-AI38B300-BPR_psi</t>
  </si>
  <si>
    <t>Errors</t>
  </si>
  <si>
    <t>SE</t>
  </si>
  <si>
    <t>t Score</t>
  </si>
  <si>
    <t>Spectrosopy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</si>
</sst>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dd\-mmm\-yy\ hh:mm:ss"/>
  </numFmts>
  <fonts count="5" x14ac:knownFonts="1">
    <font>
      <sz val="11"/>
      <color theme="1"/>
      <name val="Calibri"/>
      <family val="2"/>
      <charset val="1"/>
    </font>
    <font>
      <b/>
      <sz val="11"/>
      <name val="Cambria"/>
      <family val="1"/>
    </font>
    <font>
      <sz val="11"/>
      <color theme="1"/>
      <name val="Calibri"/>
      <family val="2"/>
      <charset val="1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43" fontId="0" fillId="0" borderId="0" xfId="1" applyFont="1"/>
    <xf numFmtId="43" fontId="1" fillId="0" borderId="2" xfId="1" applyFont="1" applyFill="1" applyBorder="1" applyAlignment="1">
      <alignment horizontal="center" vertical="top"/>
    </xf>
    <xf numFmtId="43" fontId="1" fillId="0" borderId="1" xfId="1" applyFont="1" applyBorder="1" applyAlignment="1">
      <alignment horizontal="center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'TrainB+SC38014'!$Y$1:$Y$3</c:f>
              <c:strCache>
                <c:ptCount val="3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'TrainB+SC38014'!$Y$4:$Y$235</c:f>
              <c:numCache>
                <c:formatCode>_(* #,##0.00_);_(* \(#,##0.00\);_(* "-"??_);_(@_)</c:formatCode>
                <c:ptCount val="232"/>
                <c:pt idx="0">
                  <c:v>0</c:v>
                </c:pt>
                <c:pt idx="1">
                  <c:v>-1.2810505997178276</c:v>
                </c:pt>
                <c:pt idx="2">
                  <c:v>0.71895585191588451</c:v>
                </c:pt>
                <c:pt idx="3">
                  <c:v>0.6610626607750979</c:v>
                </c:pt>
                <c:pt idx="4">
                  <c:v>-0.64586501856329481</c:v>
                </c:pt>
                <c:pt idx="5">
                  <c:v>-0.26292931182189205</c:v>
                </c:pt>
                <c:pt idx="6">
                  <c:v>1.479476300376751</c:v>
                </c:pt>
                <c:pt idx="7">
                  <c:v>11.710454574853358</c:v>
                </c:pt>
                <c:pt idx="17">
                  <c:v>-0.90117426246507681</c:v>
                </c:pt>
                <c:pt idx="18">
                  <c:v>0.66108699441326546</c:v>
                </c:pt>
                <c:pt idx="19">
                  <c:v>-3.8039176517586606</c:v>
                </c:pt>
                <c:pt idx="20">
                  <c:v>3.0752969245700852</c:v>
                </c:pt>
                <c:pt idx="21">
                  <c:v>2.3011008787763885</c:v>
                </c:pt>
                <c:pt idx="22">
                  <c:v>-1.6989120244910416</c:v>
                </c:pt>
                <c:pt idx="23">
                  <c:v>1.9669924482448027</c:v>
                </c:pt>
                <c:pt idx="24">
                  <c:v>9.4508875575838633</c:v>
                </c:pt>
                <c:pt idx="25">
                  <c:v>-2.0273960421895558</c:v>
                </c:pt>
                <c:pt idx="26">
                  <c:v>2.2710431152180282</c:v>
                </c:pt>
                <c:pt idx="27">
                  <c:v>4.2513038037750439</c:v>
                </c:pt>
                <c:pt idx="28">
                  <c:v>1.6400573058062644</c:v>
                </c:pt>
                <c:pt idx="29">
                  <c:v>1.2826691438341741E-2</c:v>
                </c:pt>
                <c:pt idx="30">
                  <c:v>1.7202657721985641</c:v>
                </c:pt>
                <c:pt idx="31">
                  <c:v>0.31313334126157044</c:v>
                </c:pt>
                <c:pt idx="32">
                  <c:v>-1.0756917800063839</c:v>
                </c:pt>
                <c:pt idx="33">
                  <c:v>6.5128719594747038</c:v>
                </c:pt>
                <c:pt idx="34">
                  <c:v>1.0953370041050354</c:v>
                </c:pt>
                <c:pt idx="35">
                  <c:v>0.97835404237951207</c:v>
                </c:pt>
                <c:pt idx="36">
                  <c:v>0.20008092733756749</c:v>
                </c:pt>
                <c:pt idx="37">
                  <c:v>31.508597868919825</c:v>
                </c:pt>
                <c:pt idx="38">
                  <c:v>30.645857109405174</c:v>
                </c:pt>
                <c:pt idx="39">
                  <c:v>1.3118815017879617</c:v>
                </c:pt>
                <c:pt idx="40">
                  <c:v>0.49346010976778087</c:v>
                </c:pt>
                <c:pt idx="41">
                  <c:v>5.5851615412494289E-2</c:v>
                </c:pt>
                <c:pt idx="42">
                  <c:v>31.014433093267687</c:v>
                </c:pt>
                <c:pt idx="43">
                  <c:v>31.610176013494822</c:v>
                </c:pt>
                <c:pt idx="44">
                  <c:v>-0.608487039659944</c:v>
                </c:pt>
                <c:pt idx="45">
                  <c:v>4.9413116846091605E-3</c:v>
                </c:pt>
                <c:pt idx="46">
                  <c:v>-0.31407545188198099</c:v>
                </c:pt>
                <c:pt idx="47">
                  <c:v>-0.17236665823431971</c:v>
                </c:pt>
                <c:pt idx="48">
                  <c:v>2.2842642322902496</c:v>
                </c:pt>
                <c:pt idx="49">
                  <c:v>0.49812510826174233</c:v>
                </c:pt>
                <c:pt idx="50">
                  <c:v>-0.61222516764055457</c:v>
                </c:pt>
                <c:pt idx="51">
                  <c:v>-0.44727044233638746</c:v>
                </c:pt>
                <c:pt idx="52">
                  <c:v>-2.8487627567991369</c:v>
                </c:pt>
                <c:pt idx="53">
                  <c:v>0.47229277885692039</c:v>
                </c:pt>
                <c:pt idx="54">
                  <c:v>-0.71870056405272997</c:v>
                </c:pt>
                <c:pt idx="55">
                  <c:v>31.126435372487091</c:v>
                </c:pt>
                <c:pt idx="56">
                  <c:v>31.204825534299133</c:v>
                </c:pt>
                <c:pt idx="57">
                  <c:v>0.82906852311311052</c:v>
                </c:pt>
                <c:pt idx="58">
                  <c:v>1.3783873796641575</c:v>
                </c:pt>
                <c:pt idx="59">
                  <c:v>4.99198067952321</c:v>
                </c:pt>
                <c:pt idx="60">
                  <c:v>3.1914853883846694</c:v>
                </c:pt>
                <c:pt idx="61">
                  <c:v>4.7721356485467989</c:v>
                </c:pt>
                <c:pt idx="62">
                  <c:v>30.628943686018868</c:v>
                </c:pt>
                <c:pt idx="63">
                  <c:v>-2.0088317916979608</c:v>
                </c:pt>
                <c:pt idx="64">
                  <c:v>2.167321975090593</c:v>
                </c:pt>
                <c:pt idx="65">
                  <c:v>0.81457033803625667</c:v>
                </c:pt>
                <c:pt idx="66">
                  <c:v>-0.91148659947370092</c:v>
                </c:pt>
                <c:pt idx="67">
                  <c:v>-0.31739760435169811</c:v>
                </c:pt>
                <c:pt idx="68">
                  <c:v>1.5597638226294981</c:v>
                </c:pt>
                <c:pt idx="69">
                  <c:v>9.65999983508702E-2</c:v>
                </c:pt>
                <c:pt idx="70">
                  <c:v>0.78922728445773371</c:v>
                </c:pt>
                <c:pt idx="71">
                  <c:v>0.21825361266404125</c:v>
                </c:pt>
                <c:pt idx="72">
                  <c:v>-1.2949853920897434</c:v>
                </c:pt>
                <c:pt idx="73">
                  <c:v>9.4470102480411391E-2</c:v>
                </c:pt>
                <c:pt idx="74">
                  <c:v>3.6403270038021511E-2</c:v>
                </c:pt>
                <c:pt idx="75">
                  <c:v>0.92389884953163859</c:v>
                </c:pt>
                <c:pt idx="76">
                  <c:v>3.4023824492765906E-2</c:v>
                </c:pt>
                <c:pt idx="77">
                  <c:v>0.14524120167820753</c:v>
                </c:pt>
                <c:pt idx="78">
                  <c:v>0.3992648902541745</c:v>
                </c:pt>
                <c:pt idx="79">
                  <c:v>-1.0803445226018302</c:v>
                </c:pt>
                <c:pt idx="80">
                  <c:v>0.1436027294462531</c:v>
                </c:pt>
                <c:pt idx="81">
                  <c:v>1.1270920845361121</c:v>
                </c:pt>
                <c:pt idx="82">
                  <c:v>-0.53246120209398995</c:v>
                </c:pt>
                <c:pt idx="83">
                  <c:v>1.3916805425103658</c:v>
                </c:pt>
                <c:pt idx="84">
                  <c:v>-0.64836834196037796</c:v>
                </c:pt>
                <c:pt idx="85">
                  <c:v>2.8668895420367917E-2</c:v>
                </c:pt>
                <c:pt idx="86">
                  <c:v>-1.0197881023720847</c:v>
                </c:pt>
                <c:pt idx="87">
                  <c:v>1.7726264016947417</c:v>
                </c:pt>
                <c:pt idx="88">
                  <c:v>6.4771852680044942E-2</c:v>
                </c:pt>
                <c:pt idx="89">
                  <c:v>-1.6211276994404262</c:v>
                </c:pt>
                <c:pt idx="90">
                  <c:v>0.76703962346226284</c:v>
                </c:pt>
                <c:pt idx="91">
                  <c:v>2.663527255783113E-2</c:v>
                </c:pt>
                <c:pt idx="92">
                  <c:v>-0.19125033161871952</c:v>
                </c:pt>
                <c:pt idx="93">
                  <c:v>0.11719728526455953</c:v>
                </c:pt>
                <c:pt idx="94">
                  <c:v>1.141333657887901</c:v>
                </c:pt>
                <c:pt idx="95">
                  <c:v>-0.28667779466899068</c:v>
                </c:pt>
                <c:pt idx="96">
                  <c:v>0.97559789562543275</c:v>
                </c:pt>
                <c:pt idx="97">
                  <c:v>-0.99684734083628512</c:v>
                </c:pt>
                <c:pt idx="98">
                  <c:v>-1.2302089097135636</c:v>
                </c:pt>
                <c:pt idx="99">
                  <c:v>-0.6974171299756986</c:v>
                </c:pt>
                <c:pt idx="100">
                  <c:v>1.1741332189299554</c:v>
                </c:pt>
                <c:pt idx="101">
                  <c:v>-1.2473890776549721</c:v>
                </c:pt>
                <c:pt idx="102">
                  <c:v>-0.27734664954384758</c:v>
                </c:pt>
                <c:pt idx="103">
                  <c:v>-0.27609232658543603</c:v>
                </c:pt>
                <c:pt idx="104">
                  <c:v>0.49865503665001382</c:v>
                </c:pt>
                <c:pt idx="105">
                  <c:v>9.4100921090845474E-2</c:v>
                </c:pt>
                <c:pt idx="106">
                  <c:v>1.307414144183243</c:v>
                </c:pt>
                <c:pt idx="107">
                  <c:v>-0.51131722988997086</c:v>
                </c:pt>
                <c:pt idx="108">
                  <c:v>-0.90792551514843767</c:v>
                </c:pt>
                <c:pt idx="109">
                  <c:v>0.49227926528367771</c:v>
                </c:pt>
                <c:pt idx="110">
                  <c:v>-1.0030357080710783</c:v>
                </c:pt>
                <c:pt idx="111">
                  <c:v>30.746470366182756</c:v>
                </c:pt>
                <c:pt idx="112">
                  <c:v>0.3624542433625732</c:v>
                </c:pt>
                <c:pt idx="113">
                  <c:v>0.51872459495157131</c:v>
                </c:pt>
                <c:pt idx="114">
                  <c:v>0.38119620561045137</c:v>
                </c:pt>
                <c:pt idx="115">
                  <c:v>0.73603605993256027</c:v>
                </c:pt>
                <c:pt idx="116">
                  <c:v>1.7037811171746826</c:v>
                </c:pt>
                <c:pt idx="117">
                  <c:v>1.1478615775745817</c:v>
                </c:pt>
                <c:pt idx="118">
                  <c:v>0.62837224477659959</c:v>
                </c:pt>
                <c:pt idx="119">
                  <c:v>1.2221503414531583</c:v>
                </c:pt>
                <c:pt idx="120">
                  <c:v>-0.52882235875953132</c:v>
                </c:pt>
                <c:pt idx="121">
                  <c:v>-0.97128589571931712</c:v>
                </c:pt>
                <c:pt idx="122">
                  <c:v>-0.28736503800561014</c:v>
                </c:pt>
                <c:pt idx="123">
                  <c:v>23.460393455483903</c:v>
                </c:pt>
                <c:pt idx="124">
                  <c:v>-3.713856938177571</c:v>
                </c:pt>
                <c:pt idx="125">
                  <c:v>-0.57886159775641421</c:v>
                </c:pt>
                <c:pt idx="126">
                  <c:v>-1.5562618774351742</c:v>
                </c:pt>
                <c:pt idx="127">
                  <c:v>4.42923807901796</c:v>
                </c:pt>
                <c:pt idx="128">
                  <c:v>1.7873074898996468</c:v>
                </c:pt>
                <c:pt idx="129">
                  <c:v>-0.54552349233344988</c:v>
                </c:pt>
                <c:pt idx="130">
                  <c:v>0.52775172304620299</c:v>
                </c:pt>
                <c:pt idx="131">
                  <c:v>-0.42180171693494678</c:v>
                </c:pt>
                <c:pt idx="132">
                  <c:v>-0.47584377492893903</c:v>
                </c:pt>
                <c:pt idx="133">
                  <c:v>0.26862401106531697</c:v>
                </c:pt>
                <c:pt idx="134">
                  <c:v>-0.184936191109762</c:v>
                </c:pt>
                <c:pt idx="135">
                  <c:v>-1.8830508324773985</c:v>
                </c:pt>
                <c:pt idx="136">
                  <c:v>0.78433479344350743</c:v>
                </c:pt>
                <c:pt idx="137">
                  <c:v>-9.8552303749357653E-2</c:v>
                </c:pt>
                <c:pt idx="138">
                  <c:v>-1.1063519730195137</c:v>
                </c:pt>
                <c:pt idx="139">
                  <c:v>-0.68699578154793151</c:v>
                </c:pt>
                <c:pt idx="140">
                  <c:v>-1.763995973262374</c:v>
                </c:pt>
                <c:pt idx="141">
                  <c:v>8.4394814287447092E-2</c:v>
                </c:pt>
                <c:pt idx="142">
                  <c:v>-0.85064995146914002</c:v>
                </c:pt>
                <c:pt idx="143">
                  <c:v>-0.5840775796416523</c:v>
                </c:pt>
                <c:pt idx="144">
                  <c:v>-0.31304171280867515</c:v>
                </c:pt>
                <c:pt idx="145">
                  <c:v>0.40804548996634016</c:v>
                </c:pt>
                <c:pt idx="146">
                  <c:v>0.27901281566739072</c:v>
                </c:pt>
                <c:pt idx="147">
                  <c:v>-0.94679759017262766</c:v>
                </c:pt>
                <c:pt idx="148">
                  <c:v>-7.5827038654721013E-2</c:v>
                </c:pt>
                <c:pt idx="149">
                  <c:v>25.988773169733047</c:v>
                </c:pt>
                <c:pt idx="150">
                  <c:v>25.988773169733047</c:v>
                </c:pt>
                <c:pt idx="151">
                  <c:v>25.988773169733047</c:v>
                </c:pt>
                <c:pt idx="152">
                  <c:v>25.988773169733047</c:v>
                </c:pt>
                <c:pt idx="153">
                  <c:v>25.441957869178346</c:v>
                </c:pt>
                <c:pt idx="154">
                  <c:v>25.424020995440365</c:v>
                </c:pt>
                <c:pt idx="155">
                  <c:v>-2.7051020017305927</c:v>
                </c:pt>
                <c:pt idx="156">
                  <c:v>-2.6083274960063769</c:v>
                </c:pt>
                <c:pt idx="157">
                  <c:v>-1.9631641245116325</c:v>
                </c:pt>
                <c:pt idx="158">
                  <c:v>-2.7696183388800657</c:v>
                </c:pt>
                <c:pt idx="159">
                  <c:v>-17.09421558389926</c:v>
                </c:pt>
                <c:pt idx="160">
                  <c:v>2.1897144157332225</c:v>
                </c:pt>
                <c:pt idx="161">
                  <c:v>0.78123136160975448</c:v>
                </c:pt>
                <c:pt idx="162">
                  <c:v>1.7776208000198916</c:v>
                </c:pt>
                <c:pt idx="163">
                  <c:v>0.26154953228331496</c:v>
                </c:pt>
                <c:pt idx="164">
                  <c:v>1.0443966408906604</c:v>
                </c:pt>
                <c:pt idx="165">
                  <c:v>2.9395703130299036</c:v>
                </c:pt>
                <c:pt idx="166">
                  <c:v>27.701387659000609</c:v>
                </c:pt>
                <c:pt idx="167">
                  <c:v>0.5675231454004146</c:v>
                </c:pt>
                <c:pt idx="168">
                  <c:v>-1.8428399249667984</c:v>
                </c:pt>
                <c:pt idx="169">
                  <c:v>-1.6857042347469569</c:v>
                </c:pt>
                <c:pt idx="170">
                  <c:v>-1.6924788659279411</c:v>
                </c:pt>
                <c:pt idx="171">
                  <c:v>-1.6523893049190683</c:v>
                </c:pt>
                <c:pt idx="172">
                  <c:v>25.934293262185545</c:v>
                </c:pt>
                <c:pt idx="173">
                  <c:v>-1.4909615092552868</c:v>
                </c:pt>
                <c:pt idx="174">
                  <c:v>-2.0614207055338865</c:v>
                </c:pt>
                <c:pt idx="175">
                  <c:v>-2.6420677398791574</c:v>
                </c:pt>
                <c:pt idx="176">
                  <c:v>-2.0291625369591442</c:v>
                </c:pt>
                <c:pt idx="177">
                  <c:v>-2.0291625369591442</c:v>
                </c:pt>
                <c:pt idx="178">
                  <c:v>-1.5775481769128252</c:v>
                </c:pt>
                <c:pt idx="179">
                  <c:v>25.519313425866539</c:v>
                </c:pt>
                <c:pt idx="180">
                  <c:v>-1.9001298626601975</c:v>
                </c:pt>
                <c:pt idx="181">
                  <c:v>-2.1259370426833595</c:v>
                </c:pt>
                <c:pt idx="182">
                  <c:v>-2.4485187284307317</c:v>
                </c:pt>
                <c:pt idx="183">
                  <c:v>-4.3194925057654974</c:v>
                </c:pt>
                <c:pt idx="184">
                  <c:v>-2.3840023912812587</c:v>
                </c:pt>
                <c:pt idx="185">
                  <c:v>-2.1259370426833595</c:v>
                </c:pt>
                <c:pt idx="186">
                  <c:v>-1.190450154015974</c:v>
                </c:pt>
                <c:pt idx="187">
                  <c:v>-4.0614271571675991</c:v>
                </c:pt>
                <c:pt idx="188">
                  <c:v>-1.3839991654643995</c:v>
                </c:pt>
                <c:pt idx="189">
                  <c:v>1.8434059652897954</c:v>
                </c:pt>
                <c:pt idx="190">
                  <c:v>29.268992898034654</c:v>
                </c:pt>
                <c:pt idx="191">
                  <c:v>30.037046373516333</c:v>
                </c:pt>
                <c:pt idx="192">
                  <c:v>0.87667770710706305</c:v>
                </c:pt>
                <c:pt idx="193">
                  <c:v>28.990901637769273</c:v>
                </c:pt>
                <c:pt idx="194">
                  <c:v>2.956362132571599</c:v>
                </c:pt>
                <c:pt idx="195">
                  <c:v>2.5003347041174879</c:v>
                </c:pt>
                <c:pt idx="196">
                  <c:v>2.4818513999556107</c:v>
                </c:pt>
                <c:pt idx="197">
                  <c:v>1.815662372448771E-2</c:v>
                </c:pt>
                <c:pt idx="198">
                  <c:v>-0.18231745491477316</c:v>
                </c:pt>
                <c:pt idx="199">
                  <c:v>0.44005369810826184</c:v>
                </c:pt>
                <c:pt idx="200">
                  <c:v>1.5984967500404561</c:v>
                </c:pt>
                <c:pt idx="201">
                  <c:v>-0.63216838849467993</c:v>
                </c:pt>
                <c:pt idx="202">
                  <c:v>-0.17415420800691281</c:v>
                </c:pt>
                <c:pt idx="203">
                  <c:v>0.84862887893184802</c:v>
                </c:pt>
                <c:pt idx="204">
                  <c:v>-0.22320286735079181</c:v>
                </c:pt>
                <c:pt idx="205">
                  <c:v>6.6463490715416101E-2</c:v>
                </c:pt>
                <c:pt idx="206">
                  <c:v>-9.9237631872998708E-2</c:v>
                </c:pt>
                <c:pt idx="207">
                  <c:v>0.17096766467469587</c:v>
                </c:pt>
                <c:pt idx="208">
                  <c:v>-0.50708721554889769</c:v>
                </c:pt>
                <c:pt idx="209">
                  <c:v>0.1586083304643815</c:v>
                </c:pt>
                <c:pt idx="210">
                  <c:v>-8.9779567561095841E-2</c:v>
                </c:pt>
                <c:pt idx="211">
                  <c:v>25.428655803299922</c:v>
                </c:pt>
                <c:pt idx="212">
                  <c:v>-0.97971977452506842</c:v>
                </c:pt>
                <c:pt idx="213">
                  <c:v>-2.7114000237418572</c:v>
                </c:pt>
                <c:pt idx="214">
                  <c:v>-2.7114000237418572</c:v>
                </c:pt>
                <c:pt idx="215">
                  <c:v>1.105969320750279</c:v>
                </c:pt>
                <c:pt idx="216">
                  <c:v>-0.1600289407237882</c:v>
                </c:pt>
                <c:pt idx="217">
                  <c:v>-0.13149677290258285</c:v>
                </c:pt>
                <c:pt idx="218">
                  <c:v>0.73121940058388268</c:v>
                </c:pt>
                <c:pt idx="219">
                  <c:v>0.6542356358194783</c:v>
                </c:pt>
                <c:pt idx="220">
                  <c:v>-0.51402103235683028</c:v>
                </c:pt>
                <c:pt idx="221">
                  <c:v>0.12500857040688193</c:v>
                </c:pt>
                <c:pt idx="222">
                  <c:v>0.20121774412614324</c:v>
                </c:pt>
                <c:pt idx="223">
                  <c:v>8.6617758971049758E-2</c:v>
                </c:pt>
                <c:pt idx="224">
                  <c:v>-5.3202807390882713E-2</c:v>
                </c:pt>
                <c:pt idx="225">
                  <c:v>-0.23304900020040725</c:v>
                </c:pt>
                <c:pt idx="226">
                  <c:v>26.367965708060822</c:v>
                </c:pt>
                <c:pt idx="227">
                  <c:v>-0.30774859522898868</c:v>
                </c:pt>
                <c:pt idx="228">
                  <c:v>0.31906729902393399</c:v>
                </c:pt>
                <c:pt idx="229">
                  <c:v>-0.25193566765691422</c:v>
                </c:pt>
                <c:pt idx="230">
                  <c:v>-0.44944562044380931</c:v>
                </c:pt>
                <c:pt idx="231">
                  <c:v>-0.30362253208331363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C0-0745-80C1-BF302022F8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6189328"/>
        <c:axId val="1136191040"/>
      </c:lineChart>
      <c:catAx>
        <c:axId val="11361893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191040"/>
        <c:crosses val="autoZero"/>
        <c:auto val="1"/>
        <c:lblAlgn val="ctr"/>
        <c:lblOffset val="100"/>
        <c:noMultiLvlLbl val="0"/>
      </c:catAx>
      <c:valAx>
        <c:axId val="113619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189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184150</xdr:colOff>
      <xdr:row>39</xdr:row>
      <xdr:rowOff>38100</xdr:rowOff>
    </xdr:from>
    <xdr:to>
      <xdr:col>37</xdr:col>
      <xdr:colOff>508000</xdr:colOff>
      <xdr:row>70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1ADB52-7660-65A8-A819-194BBCCF76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35"/>
  <sheetViews>
    <sheetView tabSelected="1" topLeftCell="R1" zoomScaleNormal="100" workbookViewId="0">
      <selection activeCell="W1" sqref="W1:W1048576"/>
    </sheetView>
  </sheetViews>
  <sheetFormatPr baseColWidth="10" defaultColWidth="8.6640625" defaultRowHeight="15" customHeight="1" x14ac:dyDescent="0.2"/>
  <cols>
    <col min="1" max="1" width="10.33203125" bestFit="1" customWidth="1"/>
    <col min="2" max="2" width="19.6640625" customWidth="1"/>
    <col min="3" max="3" width="32.83203125" bestFit="1" customWidth="1"/>
    <col min="4" max="4" width="31.83203125" bestFit="1" customWidth="1"/>
    <col min="5" max="5" width="19.1640625" bestFit="1" customWidth="1"/>
    <col min="6" max="6" width="19.33203125" bestFit="1" customWidth="1"/>
    <col min="7" max="8" width="32.83203125" bestFit="1" customWidth="1"/>
    <col min="9" max="10" width="34" bestFit="1" customWidth="1"/>
    <col min="11" max="12" width="32.83203125" bestFit="1" customWidth="1"/>
    <col min="13" max="13" width="32.33203125" bestFit="1" customWidth="1"/>
    <col min="14" max="16" width="32.83203125" bestFit="1" customWidth="1"/>
    <col min="17" max="17" width="32.33203125" bestFit="1" customWidth="1"/>
    <col min="18" max="18" width="31" bestFit="1" customWidth="1"/>
    <col min="19" max="19" width="32.33203125" bestFit="1" customWidth="1"/>
    <col min="20" max="20" width="54.1640625" style="4" customWidth="1"/>
    <col min="21" max="22" width="13.1640625" bestFit="1" customWidth="1"/>
    <col min="23" max="23" width="56" customWidth="1"/>
    <col min="24" max="24" width="10.33203125" style="4" customWidth="1"/>
    <col min="25" max="25" width="10.83203125" style="4" customWidth="1"/>
    <col min="26" max="26" width="10.33203125" style="4" customWidth="1"/>
    <col min="29" max="29" width="10.5" bestFit="1" customWidth="1"/>
  </cols>
  <sheetData>
    <row r="1" spans="1:33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4</v>
      </c>
      <c r="G1" t="s">
        <v>2</v>
      </c>
      <c r="H1" t="s">
        <v>2</v>
      </c>
      <c r="I1" t="s">
        <v>5</v>
      </c>
      <c r="J1" t="s">
        <v>5</v>
      </c>
      <c r="K1" t="s">
        <v>2</v>
      </c>
      <c r="L1" t="s">
        <v>2</v>
      </c>
      <c r="M1" t="s">
        <v>6</v>
      </c>
      <c r="N1" t="s">
        <v>7</v>
      </c>
      <c r="O1" t="s">
        <v>7</v>
      </c>
      <c r="P1" t="s">
        <v>7</v>
      </c>
      <c r="Q1" t="s">
        <v>6</v>
      </c>
      <c r="R1" t="s">
        <v>8</v>
      </c>
      <c r="S1" t="s">
        <v>6</v>
      </c>
      <c r="T1" s="4" t="s">
        <v>9</v>
      </c>
      <c r="U1" s="3" t="s">
        <v>261</v>
      </c>
      <c r="V1" s="3" t="s">
        <v>262</v>
      </c>
      <c r="W1" s="3" t="s">
        <v>9</v>
      </c>
      <c r="AG1" t="s">
        <v>268</v>
      </c>
    </row>
    <row r="2" spans="1:33" x14ac:dyDescent="0.2">
      <c r="A2" s="1" t="s">
        <v>10</v>
      </c>
      <c r="B2" t="s">
        <v>11</v>
      </c>
      <c r="C2" t="s">
        <v>12</v>
      </c>
      <c r="D2" t="s">
        <v>13</v>
      </c>
      <c r="E2" t="s">
        <v>11</v>
      </c>
      <c r="F2" t="s">
        <v>14</v>
      </c>
      <c r="G2" t="s">
        <v>11</v>
      </c>
      <c r="H2" t="s">
        <v>11</v>
      </c>
      <c r="I2" t="s">
        <v>15</v>
      </c>
      <c r="J2" t="s">
        <v>14</v>
      </c>
      <c r="K2" t="s">
        <v>15</v>
      </c>
      <c r="L2" t="s">
        <v>11</v>
      </c>
      <c r="M2" t="s">
        <v>15</v>
      </c>
      <c r="N2" t="s">
        <v>15</v>
      </c>
      <c r="O2" t="s">
        <v>15</v>
      </c>
      <c r="P2" t="s">
        <v>15</v>
      </c>
      <c r="Q2" t="s">
        <v>14</v>
      </c>
      <c r="R2" t="s">
        <v>15</v>
      </c>
      <c r="S2" t="s">
        <v>14</v>
      </c>
      <c r="T2" s="4" t="s">
        <v>14</v>
      </c>
      <c r="W2" t="s">
        <v>263</v>
      </c>
    </row>
    <row r="4" spans="1:33" x14ac:dyDescent="0.2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24</v>
      </c>
      <c r="J4" s="2" t="s">
        <v>25</v>
      </c>
      <c r="K4" s="2" t="s">
        <v>26</v>
      </c>
      <c r="L4" s="2" t="s">
        <v>27</v>
      </c>
      <c r="M4" s="2" t="s">
        <v>28</v>
      </c>
      <c r="N4" s="2" t="s">
        <v>29</v>
      </c>
      <c r="O4" s="2" t="s">
        <v>30</v>
      </c>
      <c r="P4" s="2" t="s">
        <v>31</v>
      </c>
      <c r="Q4" s="2" t="s">
        <v>32</v>
      </c>
      <c r="R4" s="2" t="s">
        <v>33</v>
      </c>
      <c r="S4" s="2" t="s">
        <v>34</v>
      </c>
      <c r="T4" s="6" t="s">
        <v>35</v>
      </c>
      <c r="U4" s="2" t="s">
        <v>36</v>
      </c>
      <c r="V4" s="2" t="s">
        <v>37</v>
      </c>
      <c r="W4" s="2" t="s">
        <v>264</v>
      </c>
      <c r="X4" s="6" t="s">
        <v>265</v>
      </c>
      <c r="Y4" s="5" t="s">
        <v>267</v>
      </c>
      <c r="Z4" s="5" t="s">
        <v>266</v>
      </c>
    </row>
    <row r="5" spans="1:33" x14ac:dyDescent="0.2">
      <c r="A5" t="s">
        <v>38</v>
      </c>
      <c r="B5">
        <v>150.59706115722699</v>
      </c>
      <c r="C5">
        <v>0</v>
      </c>
      <c r="D5">
        <v>179.84962463378901</v>
      </c>
      <c r="E5">
        <v>43.111476898193402</v>
      </c>
      <c r="F5">
        <v>6.2713079452514702</v>
      </c>
      <c r="G5">
        <v>67.123954772949205</v>
      </c>
      <c r="H5">
        <v>113.427688598633</v>
      </c>
      <c r="I5">
        <v>36.704002380371101</v>
      </c>
      <c r="J5">
        <v>6.2999863624572798</v>
      </c>
      <c r="K5">
        <v>21.782665252685501</v>
      </c>
      <c r="L5">
        <v>114.8330078125</v>
      </c>
      <c r="M5">
        <v>0</v>
      </c>
      <c r="N5">
        <v>29.794404983520501</v>
      </c>
      <c r="O5">
        <v>50</v>
      </c>
      <c r="P5">
        <v>50.388950347900398</v>
      </c>
      <c r="Q5">
        <v>6.2713079452514702</v>
      </c>
      <c r="R5">
        <v>11.6803798675537</v>
      </c>
      <c r="S5">
        <v>6.4999866485595703</v>
      </c>
      <c r="T5" s="4">
        <v>0.66898989677429199</v>
      </c>
      <c r="U5">
        <v>10.94</v>
      </c>
      <c r="V5" s="3">
        <v>10.1</v>
      </c>
      <c r="W5">
        <f>T5*14.50377</f>
        <v>9.7028755951380727</v>
      </c>
      <c r="X5" s="4">
        <f>+W5-V5</f>
        <v>-0.39712440486192691</v>
      </c>
      <c r="Y5" s="4">
        <f>+X5/Z5</f>
        <v>-1.2810505997178276</v>
      </c>
      <c r="Z5" s="4">
        <v>0.30999900000000002</v>
      </c>
    </row>
    <row r="6" spans="1:33" x14ac:dyDescent="0.2">
      <c r="A6" t="s">
        <v>38</v>
      </c>
      <c r="B6">
        <v>150.59706115722699</v>
      </c>
      <c r="C6">
        <v>0</v>
      </c>
      <c r="D6">
        <v>179.84962463378901</v>
      </c>
      <c r="E6">
        <v>43.111476898193402</v>
      </c>
      <c r="F6">
        <v>6.2713079452514702</v>
      </c>
      <c r="G6">
        <v>67.123954772949205</v>
      </c>
      <c r="H6">
        <v>113.427688598633</v>
      </c>
      <c r="I6">
        <v>36.704002380371101</v>
      </c>
      <c r="J6">
        <v>6.2999863624572798</v>
      </c>
      <c r="K6">
        <v>21.782665252685501</v>
      </c>
      <c r="L6">
        <v>114.8330078125</v>
      </c>
      <c r="M6">
        <v>0</v>
      </c>
      <c r="N6">
        <v>29.794404983520501</v>
      </c>
      <c r="O6">
        <v>50</v>
      </c>
      <c r="P6">
        <v>50.388950347900398</v>
      </c>
      <c r="Q6">
        <v>6.2713079452514702</v>
      </c>
      <c r="R6">
        <v>11.6803798675537</v>
      </c>
      <c r="S6">
        <v>6.4999866485595703</v>
      </c>
      <c r="T6" s="4">
        <v>0.66898989677429199</v>
      </c>
      <c r="U6">
        <v>10.26</v>
      </c>
      <c r="V6" s="3">
        <v>9.48</v>
      </c>
      <c r="W6">
        <f>T6*14.50377</f>
        <v>9.7028755951380727</v>
      </c>
      <c r="X6" s="4">
        <f t="shared" ref="X6:X69" si="0">+W6-V6</f>
        <v>0.22287559513807231</v>
      </c>
      <c r="Y6" s="4">
        <f t="shared" ref="Y6:Y69" si="1">+X6/Z6</f>
        <v>0.71895585191588451</v>
      </c>
      <c r="Z6" s="4">
        <v>0.30999900000000002</v>
      </c>
    </row>
    <row r="7" spans="1:33" x14ac:dyDescent="0.2">
      <c r="A7" t="s">
        <v>39</v>
      </c>
      <c r="B7">
        <v>150.316818237305</v>
      </c>
      <c r="C7">
        <v>0</v>
      </c>
      <c r="D7">
        <v>154.56602478027301</v>
      </c>
      <c r="E7">
        <v>42.930728912353501</v>
      </c>
      <c r="F7">
        <v>6.3094468116760298</v>
      </c>
      <c r="G7">
        <v>65.860458374023395</v>
      </c>
      <c r="H7">
        <v>115.455680847168</v>
      </c>
      <c r="I7">
        <v>37.493892669677699</v>
      </c>
      <c r="J7">
        <v>6.29998731613159</v>
      </c>
      <c r="K7">
        <v>19.459058761596701</v>
      </c>
      <c r="L7">
        <v>113.978187561035</v>
      </c>
      <c r="M7">
        <v>0</v>
      </c>
      <c r="N7">
        <v>30.306367874145501</v>
      </c>
      <c r="O7">
        <v>50</v>
      </c>
      <c r="P7">
        <v>50.752738952636697</v>
      </c>
      <c r="Q7">
        <v>6.3094468116760298</v>
      </c>
      <c r="R7">
        <v>11.3051242828369</v>
      </c>
      <c r="S7">
        <v>6.4999876022338903</v>
      </c>
      <c r="T7" s="4">
        <v>0.66913145780563399</v>
      </c>
      <c r="U7">
        <v>10.38</v>
      </c>
      <c r="V7">
        <v>9.5</v>
      </c>
      <c r="W7">
        <f t="shared" ref="W7:W69" si="2">T7*14.50377</f>
        <v>9.7049287637776196</v>
      </c>
      <c r="X7" s="4">
        <f t="shared" si="0"/>
        <v>0.20492876377761959</v>
      </c>
      <c r="Y7" s="4">
        <f t="shared" si="1"/>
        <v>0.6610626607750979</v>
      </c>
      <c r="Z7" s="4">
        <v>0.30999900000000002</v>
      </c>
    </row>
    <row r="8" spans="1:33" x14ac:dyDescent="0.2">
      <c r="A8" t="s">
        <v>40</v>
      </c>
      <c r="B8">
        <v>151.427734375</v>
      </c>
      <c r="C8">
        <v>0</v>
      </c>
      <c r="D8">
        <v>157.70753479003901</v>
      </c>
      <c r="E8">
        <v>43.708408355712898</v>
      </c>
      <c r="F8">
        <v>6.2997908592224103</v>
      </c>
      <c r="G8">
        <v>66.613990783691406</v>
      </c>
      <c r="H8">
        <v>114.435913085938</v>
      </c>
      <c r="I8">
        <v>36.939861297607401</v>
      </c>
      <c r="J8">
        <v>6.2999892234802299</v>
      </c>
      <c r="K8">
        <v>20.592483520507798</v>
      </c>
      <c r="L8">
        <v>115.069961547852</v>
      </c>
      <c r="M8">
        <v>0</v>
      </c>
      <c r="N8">
        <v>28.947576522827202</v>
      </c>
      <c r="O8">
        <v>50</v>
      </c>
      <c r="P8">
        <v>49.547161102294901</v>
      </c>
      <c r="Q8">
        <v>6.2997908592224103</v>
      </c>
      <c r="R8">
        <v>15.659741401672401</v>
      </c>
      <c r="S8">
        <v>6.4999880790710503</v>
      </c>
      <c r="T8" s="4">
        <v>0.67153453826904297</v>
      </c>
      <c r="U8">
        <v>10.86</v>
      </c>
      <c r="V8">
        <v>9.94</v>
      </c>
      <c r="W8">
        <f t="shared" si="2"/>
        <v>9.7397824901103967</v>
      </c>
      <c r="X8" s="4">
        <f t="shared" si="0"/>
        <v>-0.20021750988960285</v>
      </c>
      <c r="Y8" s="4">
        <f t="shared" si="1"/>
        <v>-0.64586501856329481</v>
      </c>
      <c r="Z8" s="4">
        <v>0.30999900000000002</v>
      </c>
    </row>
    <row r="9" spans="1:33" x14ac:dyDescent="0.2">
      <c r="A9" t="s">
        <v>41</v>
      </c>
      <c r="B9">
        <v>151.35816955566401</v>
      </c>
      <c r="C9">
        <v>0</v>
      </c>
      <c r="D9">
        <v>162.76095581054699</v>
      </c>
      <c r="E9">
        <v>43.385749816894503</v>
      </c>
      <c r="F9">
        <v>6.29245853424072</v>
      </c>
      <c r="G9">
        <v>66.133361816406307</v>
      </c>
      <c r="H9">
        <v>115.148475646973</v>
      </c>
      <c r="I9">
        <v>37.721519470214801</v>
      </c>
      <c r="J9">
        <v>6.29998826980591</v>
      </c>
      <c r="K9">
        <v>20.9374599456787</v>
      </c>
      <c r="L9">
        <v>115.18731689453099</v>
      </c>
      <c r="M9">
        <v>0</v>
      </c>
      <c r="N9">
        <v>28.057785034179702</v>
      </c>
      <c r="O9">
        <v>50</v>
      </c>
      <c r="P9">
        <v>49.886241912841797</v>
      </c>
      <c r="Q9">
        <v>6.29245853424072</v>
      </c>
      <c r="R9">
        <v>10.4888515472412</v>
      </c>
      <c r="S9">
        <v>6.4999885559081996</v>
      </c>
      <c r="T9" s="4">
        <v>0.66799819469451904</v>
      </c>
      <c r="U9">
        <v>10.68</v>
      </c>
      <c r="V9">
        <v>9.77</v>
      </c>
      <c r="W9">
        <f t="shared" si="2"/>
        <v>9.6884921762645249</v>
      </c>
      <c r="X9" s="4">
        <f t="shared" si="0"/>
        <v>-8.1507823735474716E-2</v>
      </c>
      <c r="Y9" s="4">
        <f t="shared" si="1"/>
        <v>-0.26292931182189205</v>
      </c>
      <c r="Z9" s="4">
        <v>0.30999900000000002</v>
      </c>
    </row>
    <row r="10" spans="1:33" x14ac:dyDescent="0.2">
      <c r="A10" t="s">
        <v>42</v>
      </c>
      <c r="B10">
        <v>149.62852478027301</v>
      </c>
      <c r="C10">
        <v>0</v>
      </c>
      <c r="D10">
        <v>161.16268920898401</v>
      </c>
      <c r="E10">
        <v>42.294139862060597</v>
      </c>
      <c r="F10">
        <v>6.2749567031860396</v>
      </c>
      <c r="G10">
        <v>66.348793029785199</v>
      </c>
      <c r="H10">
        <v>113.180374145508</v>
      </c>
      <c r="I10">
        <v>36.482246398925803</v>
      </c>
      <c r="J10">
        <v>6.2999901771545401</v>
      </c>
      <c r="K10">
        <v>21.057479858398398</v>
      </c>
      <c r="L10">
        <v>113.47492980957</v>
      </c>
      <c r="M10">
        <v>0</v>
      </c>
      <c r="N10">
        <v>28.422483444213899</v>
      </c>
      <c r="O10">
        <v>50</v>
      </c>
      <c r="P10">
        <v>49.677146911621101</v>
      </c>
      <c r="Q10">
        <v>6.2749567031860396</v>
      </c>
      <c r="R10">
        <v>13.8659992218018</v>
      </c>
      <c r="S10">
        <v>6.4999914169311497</v>
      </c>
      <c r="T10" s="4">
        <v>0.67145550251007102</v>
      </c>
      <c r="U10">
        <v>10.15</v>
      </c>
      <c r="V10">
        <v>9.2799999999999994</v>
      </c>
      <c r="W10">
        <f t="shared" si="2"/>
        <v>9.7386361736404918</v>
      </c>
      <c r="X10" s="4">
        <f t="shared" si="0"/>
        <v>0.45863617364049247</v>
      </c>
      <c r="Y10" s="4">
        <f t="shared" si="1"/>
        <v>1.479476300376751</v>
      </c>
      <c r="Z10" s="4">
        <v>0.30999900000000002</v>
      </c>
    </row>
    <row r="11" spans="1:33" x14ac:dyDescent="0.2">
      <c r="A11" t="s">
        <v>43</v>
      </c>
      <c r="B11">
        <v>107.502716064453</v>
      </c>
      <c r="C11">
        <v>0</v>
      </c>
      <c r="D11">
        <v>643.46618652343795</v>
      </c>
      <c r="E11">
        <v>44.7638969421387</v>
      </c>
      <c r="F11">
        <v>3.5092506408691402</v>
      </c>
      <c r="G11">
        <v>66.002769470214801</v>
      </c>
      <c r="H11">
        <v>87.734588623046903</v>
      </c>
      <c r="I11">
        <v>0</v>
      </c>
      <c r="J11">
        <v>3.5092370510101301</v>
      </c>
      <c r="K11">
        <v>100</v>
      </c>
      <c r="L11">
        <v>113.215194702148</v>
      </c>
      <c r="M11">
        <v>0</v>
      </c>
      <c r="N11">
        <v>0</v>
      </c>
      <c r="O11">
        <v>50</v>
      </c>
      <c r="P11">
        <v>28.5511589050293</v>
      </c>
      <c r="Q11">
        <v>3.5092506408691402</v>
      </c>
      <c r="R11">
        <v>0</v>
      </c>
      <c r="S11">
        <v>6.1999998092651403</v>
      </c>
      <c r="T11" s="4">
        <v>0.93425565958023105</v>
      </c>
      <c r="U11">
        <v>10.84</v>
      </c>
      <c r="V11">
        <v>9.92</v>
      </c>
      <c r="W11">
        <f t="shared" si="2"/>
        <v>13.550229207749966</v>
      </c>
      <c r="X11" s="4">
        <f t="shared" si="0"/>
        <v>3.6302292077499665</v>
      </c>
      <c r="Y11" s="4">
        <f t="shared" si="1"/>
        <v>11.710454574853358</v>
      </c>
      <c r="Z11" s="4">
        <v>0.30999900000000002</v>
      </c>
    </row>
    <row r="12" spans="1:33" x14ac:dyDescent="0.2">
      <c r="A12" t="s">
        <v>44</v>
      </c>
      <c r="B12">
        <v>75.503837585449205</v>
      </c>
      <c r="C12">
        <v>0</v>
      </c>
      <c r="D12">
        <v>0.72679185867309604</v>
      </c>
      <c r="E12">
        <v>55.115779876708999</v>
      </c>
      <c r="F12">
        <v>5.4119443893432599</v>
      </c>
      <c r="G12">
        <v>37.424064636230497</v>
      </c>
      <c r="H12">
        <v>76.6683349609375</v>
      </c>
      <c r="I12">
        <v>0</v>
      </c>
      <c r="J12">
        <v>5.4124817848205602</v>
      </c>
      <c r="K12">
        <v>0</v>
      </c>
      <c r="L12">
        <v>76.657218933105497</v>
      </c>
      <c r="M12">
        <v>0</v>
      </c>
      <c r="N12">
        <v>0</v>
      </c>
      <c r="O12">
        <v>45</v>
      </c>
      <c r="P12">
        <v>36.596527099609403</v>
      </c>
      <c r="Q12">
        <v>5.4119443893432599</v>
      </c>
      <c r="R12">
        <v>0</v>
      </c>
      <c r="S12">
        <v>6.1999998092651403</v>
      </c>
      <c r="T12" s="4">
        <v>0.977186679840088</v>
      </c>
      <c r="W12">
        <f t="shared" si="2"/>
        <v>14.172890851464272</v>
      </c>
      <c r="X12" s="4">
        <f t="shared" si="0"/>
        <v>14.172890851464272</v>
      </c>
      <c r="Z12" s="4">
        <v>0.30999900000000002</v>
      </c>
    </row>
    <row r="13" spans="1:33" x14ac:dyDescent="0.2">
      <c r="A13" t="s">
        <v>45</v>
      </c>
      <c r="B13">
        <v>32.895698547363303</v>
      </c>
      <c r="C13">
        <v>0</v>
      </c>
      <c r="D13">
        <v>0.61776494979858398</v>
      </c>
      <c r="E13">
        <v>58.690006256103501</v>
      </c>
      <c r="F13">
        <v>3.6426987648010298</v>
      </c>
      <c r="G13">
        <v>23.687334060668899</v>
      </c>
      <c r="H13">
        <v>46.335529327392599</v>
      </c>
      <c r="I13">
        <v>0</v>
      </c>
      <c r="J13">
        <v>3.6435418128967298</v>
      </c>
      <c r="K13">
        <v>0</v>
      </c>
      <c r="L13">
        <v>46.316123962402301</v>
      </c>
      <c r="M13">
        <v>0</v>
      </c>
      <c r="N13">
        <v>0</v>
      </c>
      <c r="O13">
        <v>45</v>
      </c>
      <c r="P13">
        <v>21.019168853759801</v>
      </c>
      <c r="Q13">
        <v>3.6426987648010298</v>
      </c>
      <c r="R13">
        <v>100</v>
      </c>
      <c r="S13">
        <v>6.1999998092651403</v>
      </c>
      <c r="T13" s="4">
        <v>0.94227933883667003</v>
      </c>
      <c r="W13" s="3">
        <f t="shared" si="2"/>
        <v>13.66660280623913</v>
      </c>
      <c r="X13" s="4">
        <f t="shared" si="0"/>
        <v>13.66660280623913</v>
      </c>
      <c r="Z13" s="4">
        <v>0.30999900000000002</v>
      </c>
    </row>
    <row r="14" spans="1:33" x14ac:dyDescent="0.2">
      <c r="A14" t="s">
        <v>46</v>
      </c>
      <c r="B14">
        <v>15.078899383544901</v>
      </c>
      <c r="C14">
        <v>0</v>
      </c>
      <c r="D14">
        <v>0.83192771673202504</v>
      </c>
      <c r="E14">
        <v>59.296314239502003</v>
      </c>
      <c r="F14">
        <v>2.73859786987305</v>
      </c>
      <c r="G14">
        <v>17.1811218261719</v>
      </c>
      <c r="H14">
        <v>29.439939498901399</v>
      </c>
      <c r="I14">
        <v>0</v>
      </c>
      <c r="J14">
        <v>2.7395291328430198</v>
      </c>
      <c r="K14">
        <v>5</v>
      </c>
      <c r="L14">
        <v>29.463893890380898</v>
      </c>
      <c r="M14">
        <v>0</v>
      </c>
      <c r="N14">
        <v>0</v>
      </c>
      <c r="O14">
        <v>45</v>
      </c>
      <c r="P14">
        <v>16.209716796875</v>
      </c>
      <c r="Q14">
        <v>2.73859786987305</v>
      </c>
      <c r="R14">
        <v>99.972129821777301</v>
      </c>
      <c r="S14">
        <v>6.1999998092651403</v>
      </c>
      <c r="T14" s="4">
        <v>0.94227933883667003</v>
      </c>
      <c r="W14" s="3">
        <f t="shared" si="2"/>
        <v>13.66660280623913</v>
      </c>
      <c r="X14" s="4">
        <f t="shared" si="0"/>
        <v>13.66660280623913</v>
      </c>
      <c r="Z14" s="4">
        <v>0.30999900000000002</v>
      </c>
    </row>
    <row r="15" spans="1:33" x14ac:dyDescent="0.2">
      <c r="A15" t="s">
        <v>47</v>
      </c>
      <c r="B15">
        <v>11.418729782104499</v>
      </c>
      <c r="C15">
        <v>0</v>
      </c>
      <c r="D15">
        <v>0.85630017518997203</v>
      </c>
      <c r="E15">
        <v>61.630073547363303</v>
      </c>
      <c r="F15">
        <v>2.3254988193511998</v>
      </c>
      <c r="G15">
        <v>14.428063392639199</v>
      </c>
      <c r="H15">
        <v>21.188186645507798</v>
      </c>
      <c r="I15">
        <v>0</v>
      </c>
      <c r="J15">
        <v>2.3230788707733199</v>
      </c>
      <c r="K15">
        <v>5</v>
      </c>
      <c r="L15">
        <v>21.1780490875244</v>
      </c>
      <c r="M15">
        <v>0</v>
      </c>
      <c r="N15">
        <v>0</v>
      </c>
      <c r="O15">
        <v>45</v>
      </c>
      <c r="P15">
        <v>15.3991889953613</v>
      </c>
      <c r="Q15">
        <v>2.3254988193511998</v>
      </c>
      <c r="R15">
        <v>1.0920096635818499</v>
      </c>
      <c r="S15">
        <v>6.1999998092651403</v>
      </c>
      <c r="T15" s="4">
        <v>0.94227933883667003</v>
      </c>
      <c r="W15" s="3">
        <f t="shared" si="2"/>
        <v>13.66660280623913</v>
      </c>
      <c r="X15" s="4">
        <f t="shared" si="0"/>
        <v>13.66660280623913</v>
      </c>
      <c r="Z15" s="4">
        <v>0.30999900000000002</v>
      </c>
    </row>
    <row r="16" spans="1:33" x14ac:dyDescent="0.2">
      <c r="A16" t="s">
        <v>48</v>
      </c>
      <c r="B16">
        <v>11.5009927749634</v>
      </c>
      <c r="C16">
        <v>0</v>
      </c>
      <c r="D16">
        <v>0.57477289438247703</v>
      </c>
      <c r="E16">
        <v>61.935398101806598</v>
      </c>
      <c r="F16">
        <v>2.1190328598022501</v>
      </c>
      <c r="G16">
        <v>13.5104103088379</v>
      </c>
      <c r="H16">
        <v>17.4921684265137</v>
      </c>
      <c r="I16">
        <v>0</v>
      </c>
      <c r="J16">
        <v>2.11913990974426</v>
      </c>
      <c r="K16">
        <v>5</v>
      </c>
      <c r="L16">
        <v>17.520408630371101</v>
      </c>
      <c r="M16">
        <v>0</v>
      </c>
      <c r="N16">
        <v>0</v>
      </c>
      <c r="O16">
        <v>45</v>
      </c>
      <c r="P16">
        <v>14.9523010253906</v>
      </c>
      <c r="Q16">
        <v>2.1190328598022501</v>
      </c>
      <c r="R16">
        <v>100</v>
      </c>
      <c r="S16">
        <v>6.1999998092651403</v>
      </c>
      <c r="T16" s="4">
        <v>0.94227933883667003</v>
      </c>
      <c r="W16" s="3">
        <f t="shared" si="2"/>
        <v>13.66660280623913</v>
      </c>
      <c r="X16" s="4">
        <f t="shared" si="0"/>
        <v>13.66660280623913</v>
      </c>
      <c r="Z16" s="4">
        <v>0.30999900000000002</v>
      </c>
    </row>
    <row r="17" spans="1:26" x14ac:dyDescent="0.2">
      <c r="A17" t="s">
        <v>49</v>
      </c>
      <c r="B17">
        <v>9.1493091583252006</v>
      </c>
      <c r="C17">
        <v>0</v>
      </c>
      <c r="D17">
        <v>0.85996145009994496</v>
      </c>
      <c r="E17">
        <v>55.773998260498097</v>
      </c>
      <c r="F17">
        <v>5.1263179779052699</v>
      </c>
      <c r="G17">
        <v>12.2277164459229</v>
      </c>
      <c r="H17">
        <v>18.559452056884801</v>
      </c>
      <c r="I17">
        <v>0</v>
      </c>
      <c r="J17">
        <v>5.1259479522705096</v>
      </c>
      <c r="K17">
        <v>5</v>
      </c>
      <c r="L17">
        <v>18.599483489990199</v>
      </c>
      <c r="M17">
        <v>0</v>
      </c>
      <c r="N17">
        <v>0</v>
      </c>
      <c r="O17">
        <v>45</v>
      </c>
      <c r="P17">
        <v>38.897556304931598</v>
      </c>
      <c r="Q17">
        <v>5.1263179779052699</v>
      </c>
      <c r="R17">
        <v>0</v>
      </c>
      <c r="S17">
        <v>6.1999998092651403</v>
      </c>
      <c r="T17" s="4">
        <v>0.95150041580200195</v>
      </c>
      <c r="W17" s="3">
        <f t="shared" si="2"/>
        <v>13.800343185696601</v>
      </c>
      <c r="X17" s="4">
        <f t="shared" si="0"/>
        <v>13.800343185696601</v>
      </c>
      <c r="Z17" s="4">
        <v>0.30999900000000002</v>
      </c>
    </row>
    <row r="18" spans="1:26" x14ac:dyDescent="0.2">
      <c r="A18" t="s">
        <v>50</v>
      </c>
      <c r="B18">
        <v>10.077057838439901</v>
      </c>
      <c r="C18">
        <v>0</v>
      </c>
      <c r="D18">
        <v>0.77785527706146196</v>
      </c>
      <c r="E18">
        <v>57.884265899658203</v>
      </c>
      <c r="F18">
        <v>4.7474265098571804</v>
      </c>
      <c r="G18">
        <v>11.8396406173706</v>
      </c>
      <c r="H18">
        <v>15.027291297912599</v>
      </c>
      <c r="I18">
        <v>0</v>
      </c>
      <c r="J18">
        <v>4.7478590011596697</v>
      </c>
      <c r="K18">
        <v>5</v>
      </c>
      <c r="L18">
        <v>15.0278425216675</v>
      </c>
      <c r="M18">
        <v>0</v>
      </c>
      <c r="N18">
        <v>0</v>
      </c>
      <c r="O18">
        <v>45</v>
      </c>
      <c r="P18">
        <v>38.35595703125</v>
      </c>
      <c r="Q18">
        <v>4.7474265098571804</v>
      </c>
      <c r="R18">
        <v>0</v>
      </c>
      <c r="S18">
        <v>6.1999998092651403</v>
      </c>
      <c r="T18" s="4">
        <v>0.94227933883667003</v>
      </c>
      <c r="W18" s="3">
        <f t="shared" si="2"/>
        <v>13.66660280623913</v>
      </c>
      <c r="X18" s="4">
        <f t="shared" si="0"/>
        <v>13.66660280623913</v>
      </c>
      <c r="Z18" s="4">
        <v>0.30999900000000002</v>
      </c>
    </row>
    <row r="19" spans="1:26" x14ac:dyDescent="0.2">
      <c r="A19" t="s">
        <v>51</v>
      </c>
      <c r="B19">
        <v>8.4120244979858398</v>
      </c>
      <c r="C19">
        <v>0</v>
      </c>
      <c r="D19">
        <v>0.56305789947509799</v>
      </c>
      <c r="E19">
        <v>14.898465156555201</v>
      </c>
      <c r="F19">
        <v>4.38799953460693</v>
      </c>
      <c r="G19">
        <v>9.14825534820557</v>
      </c>
      <c r="H19">
        <v>11.6146030426025</v>
      </c>
      <c r="I19">
        <v>0</v>
      </c>
      <c r="J19">
        <v>4.3886308670043901</v>
      </c>
      <c r="K19">
        <v>5</v>
      </c>
      <c r="L19">
        <v>11.610582351684601</v>
      </c>
      <c r="M19">
        <v>0</v>
      </c>
      <c r="N19">
        <v>0</v>
      </c>
      <c r="O19">
        <v>45</v>
      </c>
      <c r="P19">
        <v>37.996738433837898</v>
      </c>
      <c r="Q19">
        <v>4.38799953460693</v>
      </c>
      <c r="R19">
        <v>0</v>
      </c>
      <c r="S19">
        <v>6.1999998092651403</v>
      </c>
      <c r="T19" s="4">
        <v>0.94227933883667003</v>
      </c>
      <c r="W19" s="3">
        <f t="shared" si="2"/>
        <v>13.66660280623913</v>
      </c>
      <c r="X19" s="4">
        <f t="shared" si="0"/>
        <v>13.66660280623913</v>
      </c>
      <c r="Z19" s="4">
        <v>0.30999900000000002</v>
      </c>
    </row>
    <row r="20" spans="1:26" x14ac:dyDescent="0.2">
      <c r="A20" t="s">
        <v>52</v>
      </c>
      <c r="B20">
        <v>6.7686953544616699</v>
      </c>
      <c r="C20">
        <v>0</v>
      </c>
      <c r="D20">
        <v>0.56305789947509799</v>
      </c>
      <c r="E20">
        <v>11.469554901123001</v>
      </c>
      <c r="F20">
        <v>4.1112370491027797</v>
      </c>
      <c r="G20">
        <v>7.1325802803039604</v>
      </c>
      <c r="H20">
        <v>9.2469673156738299</v>
      </c>
      <c r="I20">
        <v>0</v>
      </c>
      <c r="J20">
        <v>4.1115579605102504</v>
      </c>
      <c r="K20">
        <v>5</v>
      </c>
      <c r="L20">
        <v>9.2332181930541992</v>
      </c>
      <c r="M20">
        <v>0</v>
      </c>
      <c r="N20">
        <v>0</v>
      </c>
      <c r="O20">
        <v>45</v>
      </c>
      <c r="P20">
        <v>38.026840209960902</v>
      </c>
      <c r="Q20">
        <v>4.1112370491027797</v>
      </c>
      <c r="R20">
        <v>50</v>
      </c>
      <c r="S20">
        <v>6.1999998092651403</v>
      </c>
      <c r="T20" s="4">
        <v>0.94227933883667003</v>
      </c>
      <c r="W20" s="3">
        <f t="shared" si="2"/>
        <v>13.66660280623913</v>
      </c>
      <c r="X20" s="4">
        <f t="shared" si="0"/>
        <v>13.66660280623913</v>
      </c>
      <c r="Z20" s="4">
        <v>0.30999900000000002</v>
      </c>
    </row>
    <row r="21" spans="1:26" x14ac:dyDescent="0.2">
      <c r="A21" t="s">
        <v>53</v>
      </c>
      <c r="B21">
        <v>163.30781555175801</v>
      </c>
      <c r="C21">
        <v>0</v>
      </c>
      <c r="D21">
        <v>356.37292480468801</v>
      </c>
      <c r="E21">
        <v>54.498546600341797</v>
      </c>
      <c r="F21">
        <v>5.69094038009644</v>
      </c>
      <c r="G21">
        <v>59.925037384033203</v>
      </c>
      <c r="H21">
        <v>118.44167327880901</v>
      </c>
      <c r="I21">
        <v>0</v>
      </c>
      <c r="J21">
        <v>5.69486379623413</v>
      </c>
      <c r="K21">
        <v>42.552276611328097</v>
      </c>
      <c r="L21">
        <v>119</v>
      </c>
      <c r="M21">
        <v>35.846771240234403</v>
      </c>
      <c r="N21">
        <v>18.6681213378906</v>
      </c>
      <c r="O21">
        <v>52</v>
      </c>
      <c r="P21">
        <v>51.917858123779297</v>
      </c>
      <c r="Q21">
        <v>5.69094038009644</v>
      </c>
      <c r="R21">
        <v>13.633136749267599</v>
      </c>
      <c r="S21">
        <v>5.6999998092651403</v>
      </c>
      <c r="T21" s="4">
        <v>0.48681390285491899</v>
      </c>
      <c r="U21">
        <v>8.0299999999999994</v>
      </c>
      <c r="V21">
        <v>7.34</v>
      </c>
      <c r="W21">
        <f t="shared" si="2"/>
        <v>7.0606368798100885</v>
      </c>
      <c r="X21" s="4">
        <f t="shared" si="0"/>
        <v>-0.27936312018991138</v>
      </c>
      <c r="Y21" s="4">
        <f t="shared" si="1"/>
        <v>-0.90117426246507681</v>
      </c>
      <c r="Z21" s="4">
        <v>0.30999900000000002</v>
      </c>
    </row>
    <row r="22" spans="1:26" x14ac:dyDescent="0.2">
      <c r="A22" t="s">
        <v>54</v>
      </c>
      <c r="B22">
        <v>152.14730834960901</v>
      </c>
      <c r="C22">
        <v>0</v>
      </c>
      <c r="D22">
        <v>99.011535644531307</v>
      </c>
      <c r="E22">
        <v>36.028499603271499</v>
      </c>
      <c r="F22">
        <v>5.4225516319274902</v>
      </c>
      <c r="G22">
        <v>46.573970794677699</v>
      </c>
      <c r="H22">
        <v>109.92251586914099</v>
      </c>
      <c r="I22">
        <v>0</v>
      </c>
      <c r="J22">
        <v>5.4238328933715803</v>
      </c>
      <c r="K22">
        <v>11.169792175293001</v>
      </c>
      <c r="L22">
        <v>111</v>
      </c>
      <c r="M22">
        <v>0</v>
      </c>
      <c r="N22">
        <v>5.5595072917640201E-3</v>
      </c>
      <c r="O22">
        <v>49</v>
      </c>
      <c r="P22">
        <v>45.661399841308601</v>
      </c>
      <c r="Q22">
        <v>5.4225516319274902</v>
      </c>
      <c r="R22">
        <v>0</v>
      </c>
      <c r="S22">
        <v>5.6999998092651403</v>
      </c>
      <c r="T22" s="4">
        <v>0.58018958568572998</v>
      </c>
      <c r="U22">
        <v>8.9700000000000006</v>
      </c>
      <c r="V22">
        <v>8.2100000000000009</v>
      </c>
      <c r="W22">
        <f t="shared" si="2"/>
        <v>8.4149363071811187</v>
      </c>
      <c r="X22" s="4">
        <f t="shared" si="0"/>
        <v>0.20493630718111788</v>
      </c>
      <c r="Y22" s="4">
        <f t="shared" si="1"/>
        <v>0.66108699441326546</v>
      </c>
      <c r="Z22" s="4">
        <v>0.30999900000000002</v>
      </c>
    </row>
    <row r="23" spans="1:26" x14ac:dyDescent="0.2">
      <c r="A23" t="s">
        <v>55</v>
      </c>
      <c r="B23">
        <v>159.86590576171901</v>
      </c>
      <c r="C23">
        <v>0</v>
      </c>
      <c r="D23">
        <v>135.92575073242199</v>
      </c>
      <c r="E23">
        <v>14.3407897949219</v>
      </c>
      <c r="F23">
        <v>5.12591457366943</v>
      </c>
      <c r="G23">
        <v>49.782993316650398</v>
      </c>
      <c r="H23">
        <v>115.881156921387</v>
      </c>
      <c r="I23">
        <v>0</v>
      </c>
      <c r="J23">
        <v>5.1254196166992196</v>
      </c>
      <c r="K23">
        <v>17.210992813110401</v>
      </c>
      <c r="L23">
        <v>115</v>
      </c>
      <c r="M23">
        <v>0</v>
      </c>
      <c r="N23">
        <v>99.837501525878906</v>
      </c>
      <c r="O23">
        <v>49</v>
      </c>
      <c r="P23">
        <v>50.701961517333999</v>
      </c>
      <c r="Q23">
        <v>5.12591457366943</v>
      </c>
      <c r="R23">
        <v>0</v>
      </c>
      <c r="S23">
        <v>5.6999998092651403</v>
      </c>
      <c r="T23" s="4">
        <v>0.47924017906188998</v>
      </c>
      <c r="U23">
        <v>8.89</v>
      </c>
      <c r="V23">
        <v>8.1300000000000008</v>
      </c>
      <c r="W23">
        <f t="shared" si="2"/>
        <v>6.9507893318724676</v>
      </c>
      <c r="X23" s="4">
        <f t="shared" si="0"/>
        <v>-1.1792106681275332</v>
      </c>
      <c r="Y23" s="4">
        <f t="shared" si="1"/>
        <v>-3.8039176517586606</v>
      </c>
      <c r="Z23" s="4">
        <v>0.30999900000000002</v>
      </c>
    </row>
    <row r="24" spans="1:26" x14ac:dyDescent="0.2">
      <c r="A24" t="s">
        <v>56</v>
      </c>
      <c r="B24">
        <v>151.33460998535199</v>
      </c>
      <c r="C24">
        <v>0</v>
      </c>
      <c r="D24">
        <v>165.33323669433599</v>
      </c>
      <c r="E24">
        <v>37.713554382324197</v>
      </c>
      <c r="F24">
        <v>5.6795096397399902</v>
      </c>
      <c r="G24">
        <v>66.150482177734403</v>
      </c>
      <c r="H24">
        <v>115.376098632813</v>
      </c>
      <c r="I24">
        <v>0</v>
      </c>
      <c r="J24">
        <v>5.6742367744445801</v>
      </c>
      <c r="K24">
        <v>21.291244506835898</v>
      </c>
      <c r="L24">
        <v>115</v>
      </c>
      <c r="M24">
        <v>30.807481765747099</v>
      </c>
      <c r="N24">
        <v>11.2429656982422</v>
      </c>
      <c r="O24">
        <v>52</v>
      </c>
      <c r="P24">
        <v>50.7160034179688</v>
      </c>
      <c r="Q24">
        <v>5.6795096397399902</v>
      </c>
      <c r="R24">
        <v>5.78804683685303</v>
      </c>
      <c r="S24">
        <v>5.6999998092651403</v>
      </c>
      <c r="T24" s="4">
        <v>0.61937958002090499</v>
      </c>
      <c r="U24">
        <v>9.6199999999999992</v>
      </c>
      <c r="V24">
        <v>8.0299999999999994</v>
      </c>
      <c r="W24">
        <f t="shared" si="2"/>
        <v>8.9833389713198013</v>
      </c>
      <c r="X24" s="4">
        <f t="shared" si="0"/>
        <v>0.95333897131980194</v>
      </c>
      <c r="Y24" s="4">
        <f t="shared" si="1"/>
        <v>3.0752969245700852</v>
      </c>
      <c r="Z24" s="4">
        <v>0.30999900000000002</v>
      </c>
    </row>
    <row r="25" spans="1:26" x14ac:dyDescent="0.2">
      <c r="A25" t="s">
        <v>56</v>
      </c>
      <c r="B25">
        <v>151.33460998535199</v>
      </c>
      <c r="C25">
        <v>0</v>
      </c>
      <c r="D25">
        <v>165.33323669433599</v>
      </c>
      <c r="E25">
        <v>37.713554382324197</v>
      </c>
      <c r="F25">
        <v>5.6795096397399902</v>
      </c>
      <c r="G25">
        <v>66.150482177734403</v>
      </c>
      <c r="H25">
        <v>115.376098632813</v>
      </c>
      <c r="I25">
        <v>0</v>
      </c>
      <c r="J25">
        <v>5.6742367744445801</v>
      </c>
      <c r="K25">
        <v>21.291244506835898</v>
      </c>
      <c r="L25">
        <v>115</v>
      </c>
      <c r="M25">
        <v>30.807481765747099</v>
      </c>
      <c r="N25">
        <v>11.2429656982422</v>
      </c>
      <c r="O25">
        <v>52</v>
      </c>
      <c r="P25">
        <v>50.7160034179688</v>
      </c>
      <c r="Q25">
        <v>5.6795096397399902</v>
      </c>
      <c r="R25">
        <v>5.78804683685303</v>
      </c>
      <c r="S25">
        <v>5.6999998092651403</v>
      </c>
      <c r="T25" s="4">
        <v>0.61937958002090499</v>
      </c>
      <c r="U25">
        <v>9.0399999999999991</v>
      </c>
      <c r="V25">
        <v>8.27</v>
      </c>
      <c r="W25">
        <f t="shared" si="2"/>
        <v>8.9833389713198013</v>
      </c>
      <c r="X25" s="4">
        <f t="shared" si="0"/>
        <v>0.71333897131980173</v>
      </c>
      <c r="Y25" s="4">
        <f t="shared" si="1"/>
        <v>2.3011008787763885</v>
      </c>
      <c r="Z25" s="4">
        <v>0.30999900000000002</v>
      </c>
    </row>
    <row r="26" spans="1:26" x14ac:dyDescent="0.2">
      <c r="A26" t="s">
        <v>56</v>
      </c>
      <c r="B26">
        <v>151.33460998535199</v>
      </c>
      <c r="C26">
        <v>0</v>
      </c>
      <c r="D26">
        <v>165.33323669433599</v>
      </c>
      <c r="E26">
        <v>37.713554382324197</v>
      </c>
      <c r="F26">
        <v>5.6795096397399902</v>
      </c>
      <c r="G26">
        <v>66.150482177734403</v>
      </c>
      <c r="H26">
        <v>115.376098632813</v>
      </c>
      <c r="I26">
        <v>0</v>
      </c>
      <c r="J26">
        <v>5.6742367744445801</v>
      </c>
      <c r="K26">
        <v>21.291244506835898</v>
      </c>
      <c r="L26">
        <v>115</v>
      </c>
      <c r="M26">
        <v>30.807481765747099</v>
      </c>
      <c r="N26">
        <v>11.2429656982422</v>
      </c>
      <c r="O26">
        <v>52</v>
      </c>
      <c r="P26">
        <v>50.7160034179688</v>
      </c>
      <c r="Q26">
        <v>5.6795096397399902</v>
      </c>
      <c r="R26">
        <v>5.78804683685303</v>
      </c>
      <c r="S26">
        <v>5.6999998092651403</v>
      </c>
      <c r="T26" s="4">
        <v>0.61937958002090499</v>
      </c>
      <c r="U26">
        <v>10.4</v>
      </c>
      <c r="V26">
        <v>9.51</v>
      </c>
      <c r="W26">
        <f t="shared" si="2"/>
        <v>8.9833389713198013</v>
      </c>
      <c r="X26" s="4">
        <f t="shared" si="0"/>
        <v>-0.52666102868019848</v>
      </c>
      <c r="Y26" s="4">
        <f t="shared" si="1"/>
        <v>-1.6989120244910416</v>
      </c>
      <c r="Z26" s="4">
        <v>0.30999900000000002</v>
      </c>
    </row>
    <row r="27" spans="1:26" x14ac:dyDescent="0.2">
      <c r="A27" t="s">
        <v>57</v>
      </c>
      <c r="B27">
        <v>146.14616394043</v>
      </c>
      <c r="C27">
        <v>0</v>
      </c>
      <c r="D27">
        <v>100.80027770996099</v>
      </c>
      <c r="E27">
        <v>54.861270904541001</v>
      </c>
      <c r="F27">
        <v>5.7365236282348597</v>
      </c>
      <c r="G27">
        <v>75.482307434082003</v>
      </c>
      <c r="H27">
        <v>116.783081054688</v>
      </c>
      <c r="I27">
        <v>0</v>
      </c>
      <c r="J27">
        <v>5.7368392944335902</v>
      </c>
      <c r="K27">
        <v>11.246898651123001</v>
      </c>
      <c r="L27">
        <v>117</v>
      </c>
      <c r="M27">
        <v>53.756805419921903</v>
      </c>
      <c r="N27">
        <v>10.3101644515991</v>
      </c>
      <c r="O27">
        <v>50</v>
      </c>
      <c r="P27">
        <v>49.567375183105497</v>
      </c>
      <c r="Q27">
        <v>5.7365236282348597</v>
      </c>
      <c r="R27">
        <v>1.8707133531570399</v>
      </c>
      <c r="S27">
        <v>5.6999998092651403</v>
      </c>
      <c r="T27" s="4">
        <v>0.67498075962066695</v>
      </c>
      <c r="U27">
        <v>10.23</v>
      </c>
      <c r="V27">
        <v>9.18</v>
      </c>
      <c r="W27">
        <f t="shared" si="2"/>
        <v>9.7897656919634404</v>
      </c>
      <c r="X27" s="4">
        <f t="shared" si="0"/>
        <v>0.60976569196344066</v>
      </c>
      <c r="Y27" s="4">
        <f t="shared" si="1"/>
        <v>1.9669924482448027</v>
      </c>
      <c r="Z27" s="4">
        <v>0.30999900000000002</v>
      </c>
    </row>
    <row r="28" spans="1:26" x14ac:dyDescent="0.2">
      <c r="A28" t="s">
        <v>57</v>
      </c>
      <c r="B28">
        <v>146.14616394043</v>
      </c>
      <c r="C28">
        <v>0</v>
      </c>
      <c r="D28">
        <v>100.80027770996099</v>
      </c>
      <c r="E28">
        <v>54.861270904541001</v>
      </c>
      <c r="F28">
        <v>5.7365236282348597</v>
      </c>
      <c r="G28">
        <v>75.482307434082003</v>
      </c>
      <c r="H28">
        <v>116.783081054688</v>
      </c>
      <c r="I28">
        <v>0</v>
      </c>
      <c r="J28">
        <v>5.7368392944335902</v>
      </c>
      <c r="K28">
        <v>11.246898651123001</v>
      </c>
      <c r="L28">
        <v>117</v>
      </c>
      <c r="M28">
        <v>53.756805419921903</v>
      </c>
      <c r="N28">
        <v>10.3101644515991</v>
      </c>
      <c r="O28">
        <v>50</v>
      </c>
      <c r="P28">
        <v>49.567375183105497</v>
      </c>
      <c r="Q28">
        <v>5.7365236282348597</v>
      </c>
      <c r="R28">
        <v>1.8707133531570399</v>
      </c>
      <c r="S28">
        <v>5.6999998092651403</v>
      </c>
      <c r="T28" s="4">
        <v>0.67498075962066695</v>
      </c>
      <c r="U28">
        <v>7.49</v>
      </c>
      <c r="V28">
        <v>6.86</v>
      </c>
      <c r="W28">
        <f t="shared" si="2"/>
        <v>9.7897656919634404</v>
      </c>
      <c r="X28" s="4">
        <f t="shared" si="0"/>
        <v>2.9297656919634401</v>
      </c>
      <c r="Y28" s="4">
        <f t="shared" si="1"/>
        <v>9.4508875575838633</v>
      </c>
      <c r="Z28" s="4">
        <v>0.30999900000000002</v>
      </c>
    </row>
    <row r="29" spans="1:26" x14ac:dyDescent="0.2">
      <c r="A29" t="s">
        <v>58</v>
      </c>
      <c r="B29">
        <v>157.18182373046901</v>
      </c>
      <c r="C29">
        <v>0</v>
      </c>
      <c r="D29">
        <v>243.209228515625</v>
      </c>
      <c r="E29">
        <v>38.965278625488303</v>
      </c>
      <c r="F29">
        <v>6.4223303794860804</v>
      </c>
      <c r="G29">
        <v>70.002334594726605</v>
      </c>
      <c r="H29">
        <v>120.599159240723</v>
      </c>
      <c r="I29">
        <v>100</v>
      </c>
      <c r="J29">
        <v>6.1999998092651403</v>
      </c>
      <c r="K29">
        <v>31.7266845703125</v>
      </c>
      <c r="L29">
        <v>120</v>
      </c>
      <c r="M29">
        <v>47.851261138916001</v>
      </c>
      <c r="N29">
        <v>23.636833190918001</v>
      </c>
      <c r="O29">
        <v>50</v>
      </c>
      <c r="P29">
        <v>49.8642387390137</v>
      </c>
      <c r="Q29">
        <v>6.4223303794860804</v>
      </c>
      <c r="R29">
        <v>5.9297208786010698</v>
      </c>
      <c r="S29">
        <v>6.3999996185302699</v>
      </c>
      <c r="T29" s="4">
        <v>0.59305334091186501</v>
      </c>
      <c r="U29">
        <v>10.09</v>
      </c>
      <c r="V29">
        <v>9.23</v>
      </c>
      <c r="W29">
        <f t="shared" si="2"/>
        <v>8.6015092543172802</v>
      </c>
      <c r="X29" s="4">
        <f t="shared" si="0"/>
        <v>-0.62849074568272023</v>
      </c>
      <c r="Y29" s="4">
        <f t="shared" si="1"/>
        <v>-2.0273960421895558</v>
      </c>
      <c r="Z29" s="4">
        <v>0.30999900000000002</v>
      </c>
    </row>
    <row r="30" spans="1:26" x14ac:dyDescent="0.2">
      <c r="A30" t="s">
        <v>59</v>
      </c>
      <c r="B30">
        <v>153.16668701171901</v>
      </c>
      <c r="C30">
        <v>0</v>
      </c>
      <c r="D30">
        <v>189.99485778808599</v>
      </c>
      <c r="E30">
        <v>39.232513427734403</v>
      </c>
      <c r="F30">
        <v>6.3017306327819798</v>
      </c>
      <c r="G30">
        <v>66.308967590332003</v>
      </c>
      <c r="H30">
        <v>116.09854888916</v>
      </c>
      <c r="I30">
        <v>38.675704956054702</v>
      </c>
      <c r="J30">
        <v>6.2997546195983896</v>
      </c>
      <c r="K30">
        <v>21.496397018432599</v>
      </c>
      <c r="L30">
        <v>115.262588500977</v>
      </c>
      <c r="M30">
        <v>0</v>
      </c>
      <c r="N30">
        <v>25.339086532592798</v>
      </c>
      <c r="O30">
        <v>50</v>
      </c>
      <c r="P30">
        <v>49.934253692627003</v>
      </c>
      <c r="Q30">
        <v>6.3017306327819798</v>
      </c>
      <c r="R30">
        <v>8.6804695129394496</v>
      </c>
      <c r="S30">
        <v>6.49975490570068</v>
      </c>
      <c r="T30" s="4">
        <v>0.67182677984237704</v>
      </c>
      <c r="U30">
        <v>9.7799999999999994</v>
      </c>
      <c r="V30">
        <v>9.0399999999999991</v>
      </c>
      <c r="W30">
        <f t="shared" si="2"/>
        <v>9.7440210946744727</v>
      </c>
      <c r="X30" s="4">
        <f t="shared" si="0"/>
        <v>0.7040210946744736</v>
      </c>
      <c r="Y30" s="4">
        <f t="shared" si="1"/>
        <v>2.2710431152180282</v>
      </c>
      <c r="Z30" s="4">
        <v>0.30999900000000002</v>
      </c>
    </row>
    <row r="31" spans="1:26" x14ac:dyDescent="0.2">
      <c r="A31" t="s">
        <v>60</v>
      </c>
      <c r="B31">
        <v>152.98594665527301</v>
      </c>
      <c r="C31">
        <v>0</v>
      </c>
      <c r="D31">
        <v>174.616134643555</v>
      </c>
      <c r="E31">
        <v>39.753311157226598</v>
      </c>
      <c r="F31">
        <v>6.2888817787170401</v>
      </c>
      <c r="G31">
        <v>66.970863342285199</v>
      </c>
      <c r="H31">
        <v>114.749786376953</v>
      </c>
      <c r="I31">
        <v>36.728675842285199</v>
      </c>
      <c r="J31">
        <v>6.29998874664307</v>
      </c>
      <c r="K31">
        <v>21.2770690917969</v>
      </c>
      <c r="L31">
        <v>114.88108062744099</v>
      </c>
      <c r="M31">
        <v>0</v>
      </c>
      <c r="N31">
        <v>24.7941799163818</v>
      </c>
      <c r="O31">
        <v>50</v>
      </c>
      <c r="P31">
        <v>50.253692626953097</v>
      </c>
      <c r="Q31">
        <v>6.2888817787170401</v>
      </c>
      <c r="R31">
        <v>6.9240360260009801</v>
      </c>
      <c r="S31">
        <v>6.4999904632568404</v>
      </c>
      <c r="T31" s="4">
        <v>0.66382050514221203</v>
      </c>
      <c r="U31">
        <v>9.9700000000000006</v>
      </c>
      <c r="V31">
        <v>8.31</v>
      </c>
      <c r="W31">
        <f t="shared" si="2"/>
        <v>9.6278999278664603</v>
      </c>
      <c r="X31" s="4">
        <f t="shared" si="0"/>
        <v>1.3178999278664598</v>
      </c>
      <c r="Y31" s="4">
        <f t="shared" si="1"/>
        <v>4.2513038037750439</v>
      </c>
      <c r="Z31" s="4">
        <v>0.30999900000000002</v>
      </c>
    </row>
    <row r="32" spans="1:26" x14ac:dyDescent="0.2">
      <c r="A32" t="s">
        <v>61</v>
      </c>
      <c r="B32">
        <v>149.430252075195</v>
      </c>
      <c r="C32">
        <v>0</v>
      </c>
      <c r="D32">
        <v>179.04437255859401</v>
      </c>
      <c r="E32">
        <v>39.107498168945298</v>
      </c>
      <c r="F32">
        <v>6.2688703536987296</v>
      </c>
      <c r="G32">
        <v>65.845100402832003</v>
      </c>
      <c r="H32">
        <v>112.82741546630901</v>
      </c>
      <c r="I32">
        <v>37.9013481140137</v>
      </c>
      <c r="J32">
        <v>6.2999901771545401</v>
      </c>
      <c r="K32">
        <v>21.763166427612301</v>
      </c>
      <c r="L32">
        <v>113.129753112793</v>
      </c>
      <c r="M32">
        <v>0</v>
      </c>
      <c r="N32">
        <v>25.843715667724599</v>
      </c>
      <c r="O32">
        <v>50</v>
      </c>
      <c r="P32">
        <v>49.826229095458999</v>
      </c>
      <c r="Q32">
        <v>6.2706680297851598</v>
      </c>
      <c r="R32">
        <v>7.5363607406616202</v>
      </c>
      <c r="S32">
        <v>6.4999909400939897</v>
      </c>
      <c r="T32" s="4">
        <v>0.66937190294265803</v>
      </c>
      <c r="U32">
        <v>10.06</v>
      </c>
      <c r="V32">
        <v>9.1999999999999993</v>
      </c>
      <c r="W32">
        <f t="shared" si="2"/>
        <v>9.7084161247426355</v>
      </c>
      <c r="X32" s="4">
        <f t="shared" si="0"/>
        <v>0.5084161247426362</v>
      </c>
      <c r="Y32" s="4">
        <f t="shared" si="1"/>
        <v>1.6400573058062644</v>
      </c>
      <c r="Z32" s="4">
        <v>0.30999900000000002</v>
      </c>
    </row>
    <row r="33" spans="1:26" x14ac:dyDescent="0.2">
      <c r="A33" t="s">
        <v>62</v>
      </c>
      <c r="B33">
        <v>161.52529907226599</v>
      </c>
      <c r="C33">
        <v>0</v>
      </c>
      <c r="D33">
        <v>307.18844604492199</v>
      </c>
      <c r="E33">
        <v>45.5230522155762</v>
      </c>
      <c r="F33">
        <v>6.2178039550781303</v>
      </c>
      <c r="G33">
        <v>75.399063110351605</v>
      </c>
      <c r="H33">
        <v>125.954635620117</v>
      </c>
      <c r="I33">
        <v>42.902637481689503</v>
      </c>
      <c r="J33">
        <v>6.2617683410644496</v>
      </c>
      <c r="K33">
        <v>37.327774047851598</v>
      </c>
      <c r="L33">
        <v>125.739303588867</v>
      </c>
      <c r="M33">
        <v>0</v>
      </c>
      <c r="N33">
        <v>22.669725418090799</v>
      </c>
      <c r="O33">
        <v>50</v>
      </c>
      <c r="P33">
        <v>50.130466461181598</v>
      </c>
      <c r="Q33">
        <v>6.2084555625915501</v>
      </c>
      <c r="R33">
        <v>7.1597762107849103</v>
      </c>
      <c r="S33">
        <v>6.4616780281066903</v>
      </c>
      <c r="T33" s="4">
        <v>0.52841269969940197</v>
      </c>
      <c r="U33">
        <v>9.19</v>
      </c>
      <c r="V33">
        <v>7.66</v>
      </c>
      <c r="W33">
        <f t="shared" si="2"/>
        <v>7.6639762615191946</v>
      </c>
      <c r="X33" s="4">
        <f t="shared" si="0"/>
        <v>3.9762615191945017E-3</v>
      </c>
      <c r="Y33" s="4">
        <f t="shared" si="1"/>
        <v>1.2826691438341741E-2</v>
      </c>
      <c r="Z33" s="4">
        <v>0.30999900000000002</v>
      </c>
    </row>
    <row r="34" spans="1:26" x14ac:dyDescent="0.2">
      <c r="A34" t="s">
        <v>63</v>
      </c>
      <c r="B34">
        <v>149.9931640625</v>
      </c>
      <c r="C34">
        <v>0</v>
      </c>
      <c r="D34">
        <v>146.68013000488301</v>
      </c>
      <c r="E34">
        <v>40.965419769287102</v>
      </c>
      <c r="F34">
        <v>6.3019571304321298</v>
      </c>
      <c r="G34">
        <v>66.342666625976605</v>
      </c>
      <c r="H34">
        <v>114.242324829102</v>
      </c>
      <c r="I34">
        <v>38.7944526672363</v>
      </c>
      <c r="J34">
        <v>6.2999854087829599</v>
      </c>
      <c r="K34">
        <v>18.483108520507798</v>
      </c>
      <c r="L34">
        <v>113.311393737793</v>
      </c>
      <c r="M34">
        <v>0</v>
      </c>
      <c r="N34">
        <v>25.307298660278299</v>
      </c>
      <c r="O34">
        <v>50</v>
      </c>
      <c r="P34">
        <v>49.526363372802699</v>
      </c>
      <c r="Q34">
        <v>6.30849266052246</v>
      </c>
      <c r="R34">
        <v>9.0769739151000994</v>
      </c>
      <c r="S34">
        <v>6.4999852180481001</v>
      </c>
      <c r="T34" s="4">
        <v>0.67246520519256603</v>
      </c>
      <c r="U34">
        <v>10.08</v>
      </c>
      <c r="V34">
        <v>9.2200000000000006</v>
      </c>
      <c r="W34">
        <f t="shared" si="2"/>
        <v>9.7532806691157834</v>
      </c>
      <c r="X34" s="4">
        <f t="shared" si="0"/>
        <v>0.53328066911578276</v>
      </c>
      <c r="Y34" s="4">
        <f t="shared" si="1"/>
        <v>1.7202657721985641</v>
      </c>
      <c r="Z34" s="4">
        <v>0.30999900000000002</v>
      </c>
    </row>
    <row r="35" spans="1:26" x14ac:dyDescent="0.2">
      <c r="A35" t="s">
        <v>64</v>
      </c>
      <c r="B35">
        <v>149.17066955566401</v>
      </c>
      <c r="C35">
        <v>0</v>
      </c>
      <c r="D35">
        <v>149.29238891601599</v>
      </c>
      <c r="E35">
        <v>41.136814117431598</v>
      </c>
      <c r="F35">
        <v>6.2654900550842303</v>
      </c>
      <c r="G35">
        <v>66.700241088867202</v>
      </c>
      <c r="H35">
        <v>112.820121765137</v>
      </c>
      <c r="I35">
        <v>36.761909484863303</v>
      </c>
      <c r="J35">
        <v>6.29998779296875</v>
      </c>
      <c r="K35">
        <v>18.983470916748001</v>
      </c>
      <c r="L35">
        <v>113.28443908691401</v>
      </c>
      <c r="M35">
        <v>0</v>
      </c>
      <c r="N35">
        <v>25.415258407592798</v>
      </c>
      <c r="O35">
        <v>50</v>
      </c>
      <c r="P35">
        <v>49.617279052734403</v>
      </c>
      <c r="Q35">
        <v>6.2604598999023402</v>
      </c>
      <c r="R35">
        <v>7.0616292953491202</v>
      </c>
      <c r="S35">
        <v>6.4999861717224103</v>
      </c>
      <c r="T35" s="4">
        <v>0.67203706502914395</v>
      </c>
      <c r="U35">
        <v>10.59</v>
      </c>
      <c r="V35">
        <v>9.65</v>
      </c>
      <c r="W35">
        <f t="shared" si="2"/>
        <v>9.7470710226577459</v>
      </c>
      <c r="X35" s="4">
        <f t="shared" si="0"/>
        <v>9.7071022657745587E-2</v>
      </c>
      <c r="Y35" s="4">
        <f t="shared" si="1"/>
        <v>0.31313334126157044</v>
      </c>
      <c r="Z35" s="4">
        <v>0.30999900000000002</v>
      </c>
    </row>
    <row r="36" spans="1:26" x14ac:dyDescent="0.2">
      <c r="A36" t="s">
        <v>65</v>
      </c>
      <c r="B36">
        <v>151.12960815429699</v>
      </c>
      <c r="C36">
        <v>0</v>
      </c>
      <c r="D36">
        <v>188.12327575683599</v>
      </c>
      <c r="E36">
        <v>41.497879028320298</v>
      </c>
      <c r="F36">
        <v>6.2777915000915501</v>
      </c>
      <c r="G36">
        <v>67.361625671386705</v>
      </c>
      <c r="H36">
        <v>114.087104797363</v>
      </c>
      <c r="I36">
        <v>38.972343444824197</v>
      </c>
      <c r="J36">
        <v>6.2999792098998997</v>
      </c>
      <c r="K36">
        <v>22.392253875732401</v>
      </c>
      <c r="L36">
        <v>114.992721557617</v>
      </c>
      <c r="M36">
        <v>0</v>
      </c>
      <c r="N36">
        <v>26.85227394104</v>
      </c>
      <c r="O36">
        <v>50</v>
      </c>
      <c r="P36">
        <v>50.097599029541001</v>
      </c>
      <c r="Q36">
        <v>6.2846574783325204</v>
      </c>
      <c r="R36">
        <v>7.3935885429382298</v>
      </c>
      <c r="S36">
        <v>6.49997854232788</v>
      </c>
      <c r="T36" s="4">
        <v>0.66372650861740101</v>
      </c>
      <c r="U36">
        <v>10.88</v>
      </c>
      <c r="V36">
        <v>9.9600000000000009</v>
      </c>
      <c r="W36">
        <f t="shared" si="2"/>
        <v>9.6265366238898018</v>
      </c>
      <c r="X36" s="4">
        <f t="shared" si="0"/>
        <v>-0.33346337611019905</v>
      </c>
      <c r="Y36" s="4">
        <f t="shared" si="1"/>
        <v>-1.0756917800063839</v>
      </c>
      <c r="Z36" s="4">
        <v>0.30999900000000002</v>
      </c>
    </row>
    <row r="37" spans="1:26" x14ac:dyDescent="0.2">
      <c r="A37" t="s">
        <v>66</v>
      </c>
      <c r="B37">
        <v>152.09492492675801</v>
      </c>
      <c r="C37">
        <v>0</v>
      </c>
      <c r="D37">
        <v>164.840744018555</v>
      </c>
      <c r="E37">
        <v>41.422203063964801</v>
      </c>
      <c r="F37">
        <v>6.2933235168456996</v>
      </c>
      <c r="G37">
        <v>69.017990112304702</v>
      </c>
      <c r="H37">
        <v>116.67804718017599</v>
      </c>
      <c r="I37">
        <v>39.674571990966797</v>
      </c>
      <c r="J37">
        <v>6.2999072074890101</v>
      </c>
      <c r="K37">
        <v>19.999977111816399</v>
      </c>
      <c r="L37">
        <v>115.813926696777</v>
      </c>
      <c r="M37">
        <v>0</v>
      </c>
      <c r="N37">
        <v>26.355653762817401</v>
      </c>
      <c r="O37">
        <v>50</v>
      </c>
      <c r="P37">
        <v>49.750503540039098</v>
      </c>
      <c r="Q37">
        <v>6.2920427322387704</v>
      </c>
      <c r="R37">
        <v>10.104082107543899</v>
      </c>
      <c r="S37">
        <v>6.4999065399169904</v>
      </c>
      <c r="T37" s="4">
        <v>0.67699527740478505</v>
      </c>
      <c r="U37">
        <v>8.52</v>
      </c>
      <c r="V37">
        <v>7.8</v>
      </c>
      <c r="W37">
        <f t="shared" si="2"/>
        <v>9.8189837945651988</v>
      </c>
      <c r="X37" s="4">
        <f t="shared" si="0"/>
        <v>2.0189837945651989</v>
      </c>
      <c r="Y37" s="4">
        <f t="shared" si="1"/>
        <v>6.5128719594747038</v>
      </c>
      <c r="Z37" s="4">
        <v>0.30999900000000002</v>
      </c>
    </row>
    <row r="38" spans="1:26" x14ac:dyDescent="0.2">
      <c r="A38" t="s">
        <v>67</v>
      </c>
      <c r="B38">
        <v>150.77998352050801</v>
      </c>
      <c r="C38">
        <v>0</v>
      </c>
      <c r="D38">
        <v>190.93688964843801</v>
      </c>
      <c r="E38">
        <v>40.706672668457003</v>
      </c>
      <c r="F38">
        <v>6.3277292251586896</v>
      </c>
      <c r="G38">
        <v>67.170372009277301</v>
      </c>
      <c r="H38">
        <v>114.561798095703</v>
      </c>
      <c r="I38">
        <v>41.358478546142599</v>
      </c>
      <c r="J38">
        <v>6.2999863624572798</v>
      </c>
      <c r="K38">
        <v>22.050340652465799</v>
      </c>
      <c r="L38">
        <v>114.278732299805</v>
      </c>
      <c r="M38">
        <v>0</v>
      </c>
      <c r="N38">
        <v>26.661964416503899</v>
      </c>
      <c r="O38">
        <v>50</v>
      </c>
      <c r="P38">
        <v>50.182998657226598</v>
      </c>
      <c r="Q38">
        <v>6.3322286605834996</v>
      </c>
      <c r="R38">
        <v>8.5588884353637695</v>
      </c>
      <c r="S38">
        <v>6.4999866485595703</v>
      </c>
      <c r="T38" s="4">
        <v>0.67013978958129905</v>
      </c>
      <c r="U38">
        <v>10.25</v>
      </c>
      <c r="V38">
        <v>9.3800000000000008</v>
      </c>
      <c r="W38">
        <f t="shared" si="2"/>
        <v>9.7195533759355577</v>
      </c>
      <c r="X38" s="4">
        <f t="shared" si="0"/>
        <v>0.3395533759355569</v>
      </c>
      <c r="Y38" s="4">
        <f t="shared" si="1"/>
        <v>1.0953370041050354</v>
      </c>
      <c r="Z38" s="4">
        <v>0.30999900000000002</v>
      </c>
    </row>
    <row r="39" spans="1:26" x14ac:dyDescent="0.2">
      <c r="A39" t="s">
        <v>68</v>
      </c>
      <c r="B39">
        <v>149.36592102050801</v>
      </c>
      <c r="C39">
        <v>0</v>
      </c>
      <c r="D39">
        <v>172.22360229492199</v>
      </c>
      <c r="E39">
        <v>40.374313354492202</v>
      </c>
      <c r="F39">
        <v>6.2829322814941397</v>
      </c>
      <c r="G39">
        <v>66.192527770996094</v>
      </c>
      <c r="H39">
        <v>112.38510894775401</v>
      </c>
      <c r="I39">
        <v>39.844978332519503</v>
      </c>
      <c r="J39">
        <v>6.29998779296875</v>
      </c>
      <c r="K39">
        <v>21.067554473876999</v>
      </c>
      <c r="L39">
        <v>112.435585021973</v>
      </c>
      <c r="M39">
        <v>0</v>
      </c>
      <c r="N39">
        <v>26.904035568237301</v>
      </c>
      <c r="O39">
        <v>50</v>
      </c>
      <c r="P39">
        <v>50.143016815185597</v>
      </c>
      <c r="Q39">
        <v>6.2822346687316903</v>
      </c>
      <c r="R39">
        <v>7.4398093223571804</v>
      </c>
      <c r="S39">
        <v>6.4999885559081996</v>
      </c>
      <c r="T39" s="4">
        <v>0.66626048088073697</v>
      </c>
      <c r="U39">
        <v>10.23</v>
      </c>
      <c r="V39">
        <v>9.36</v>
      </c>
      <c r="W39">
        <f t="shared" si="2"/>
        <v>9.6632887747836058</v>
      </c>
      <c r="X39" s="4">
        <f t="shared" si="0"/>
        <v>0.30328877478360639</v>
      </c>
      <c r="Y39" s="4">
        <f t="shared" si="1"/>
        <v>0.97835404237951207</v>
      </c>
      <c r="Z39" s="4">
        <v>0.30999900000000002</v>
      </c>
    </row>
    <row r="40" spans="1:26" x14ac:dyDescent="0.2">
      <c r="A40" t="s">
        <v>69</v>
      </c>
      <c r="B40">
        <v>148.89979553222699</v>
      </c>
      <c r="C40">
        <v>0</v>
      </c>
      <c r="D40">
        <v>151.46141052246099</v>
      </c>
      <c r="E40">
        <v>40.921310424804702</v>
      </c>
      <c r="F40">
        <v>6.2589950561523402</v>
      </c>
      <c r="G40">
        <v>68.422149658203097</v>
      </c>
      <c r="H40">
        <v>113.34145355224599</v>
      </c>
      <c r="I40">
        <v>37.7807807922363</v>
      </c>
      <c r="J40">
        <v>6.29998731613159</v>
      </c>
      <c r="K40">
        <v>18.7044982910156</v>
      </c>
      <c r="L40">
        <v>112.205673217773</v>
      </c>
      <c r="M40">
        <v>0</v>
      </c>
      <c r="N40">
        <v>26.142951965331999</v>
      </c>
      <c r="O40">
        <v>50</v>
      </c>
      <c r="P40">
        <v>49.392124176025398</v>
      </c>
      <c r="Q40">
        <v>6.2579393386840803</v>
      </c>
      <c r="R40">
        <v>9.7859220504760707</v>
      </c>
      <c r="S40">
        <v>6.4999885559081996</v>
      </c>
      <c r="T40" s="4">
        <v>0.66617333889007602</v>
      </c>
      <c r="U40">
        <v>10.5</v>
      </c>
      <c r="V40">
        <v>9.6</v>
      </c>
      <c r="W40">
        <f t="shared" si="2"/>
        <v>9.6620248873937182</v>
      </c>
      <c r="X40" s="4">
        <f t="shared" si="0"/>
        <v>6.2024887393718586E-2</v>
      </c>
      <c r="Y40" s="4">
        <f t="shared" si="1"/>
        <v>0.20008092733756749</v>
      </c>
      <c r="Z40" s="4">
        <v>0.30999900000000002</v>
      </c>
    </row>
    <row r="41" spans="1:26" x14ac:dyDescent="0.2">
      <c r="A41" t="s">
        <v>70</v>
      </c>
      <c r="B41">
        <v>151.63369750976599</v>
      </c>
      <c r="C41">
        <v>0</v>
      </c>
      <c r="D41">
        <v>200.63529968261699</v>
      </c>
      <c r="E41">
        <v>41.218265533447301</v>
      </c>
      <c r="F41">
        <v>6.2983140945434597</v>
      </c>
      <c r="G41">
        <v>68.7109375</v>
      </c>
      <c r="H41">
        <v>115.91934204101599</v>
      </c>
      <c r="I41">
        <v>40.895351409912102</v>
      </c>
      <c r="J41">
        <v>6.29998874664307</v>
      </c>
      <c r="K41">
        <v>23.8978881835938</v>
      </c>
      <c r="L41">
        <v>116.490180969238</v>
      </c>
      <c r="M41">
        <v>0</v>
      </c>
      <c r="N41">
        <v>27.925470352172901</v>
      </c>
      <c r="O41">
        <v>50</v>
      </c>
      <c r="P41">
        <v>50.387474060058601</v>
      </c>
      <c r="Q41">
        <v>6.3027644157409703</v>
      </c>
      <c r="R41">
        <v>9.9140796661377006</v>
      </c>
      <c r="S41">
        <v>6.4999871253967303</v>
      </c>
      <c r="T41" s="4">
        <v>0.67345482110977195</v>
      </c>
      <c r="W41">
        <f t="shared" si="2"/>
        <v>9.7676338307672772</v>
      </c>
      <c r="X41" s="4">
        <f t="shared" si="0"/>
        <v>9.7676338307672772</v>
      </c>
      <c r="Y41" s="4">
        <f t="shared" si="1"/>
        <v>31.508597868919825</v>
      </c>
      <c r="Z41" s="4">
        <v>0.30999900000000002</v>
      </c>
    </row>
    <row r="42" spans="1:26" x14ac:dyDescent="0.2">
      <c r="A42" t="s">
        <v>71</v>
      </c>
      <c r="B42">
        <v>153.79252624511699</v>
      </c>
      <c r="C42">
        <v>0</v>
      </c>
      <c r="D42">
        <v>176.46168518066401</v>
      </c>
      <c r="E42">
        <v>40.701347351074197</v>
      </c>
      <c r="F42">
        <v>6.6137194633483896</v>
      </c>
      <c r="G42">
        <v>64.937339782714801</v>
      </c>
      <c r="H42">
        <v>117.019500732422</v>
      </c>
      <c r="I42">
        <v>100</v>
      </c>
      <c r="J42">
        <v>6.4000000953674299</v>
      </c>
      <c r="K42">
        <v>21.700481414794901</v>
      </c>
      <c r="L42">
        <v>116.36008453369099</v>
      </c>
      <c r="M42">
        <v>36.571327209472699</v>
      </c>
      <c r="N42">
        <v>24.781713485717798</v>
      </c>
      <c r="O42">
        <v>50</v>
      </c>
      <c r="P42">
        <v>49.729259490966797</v>
      </c>
      <c r="Q42">
        <v>6.6108150482177699</v>
      </c>
      <c r="R42">
        <v>10.940382003784199</v>
      </c>
      <c r="S42">
        <v>6.5999999046325701</v>
      </c>
      <c r="T42" s="4">
        <v>0.65501487255096402</v>
      </c>
      <c r="W42">
        <f t="shared" si="2"/>
        <v>9.500185058058495</v>
      </c>
      <c r="X42" s="4">
        <f t="shared" si="0"/>
        <v>9.500185058058495</v>
      </c>
      <c r="Y42" s="4">
        <f t="shared" si="1"/>
        <v>30.645857109405174</v>
      </c>
      <c r="Z42" s="4">
        <v>0.30999900000000002</v>
      </c>
    </row>
    <row r="43" spans="1:26" x14ac:dyDescent="0.2">
      <c r="A43" t="s">
        <v>72</v>
      </c>
      <c r="B43">
        <v>148.95977783203099</v>
      </c>
      <c r="C43">
        <v>0</v>
      </c>
      <c r="D43">
        <v>180.45054626464801</v>
      </c>
      <c r="E43">
        <v>40.565189361572301</v>
      </c>
      <c r="F43">
        <v>6.3270626068115199</v>
      </c>
      <c r="G43">
        <v>61.661746978759801</v>
      </c>
      <c r="H43">
        <v>111.215087890625</v>
      </c>
      <c r="I43">
        <v>42.594680786132798</v>
      </c>
      <c r="J43">
        <v>6.2999863624572798</v>
      </c>
      <c r="K43">
        <v>22.117904663085898</v>
      </c>
      <c r="L43">
        <v>112.90301513671901</v>
      </c>
      <c r="M43">
        <v>0</v>
      </c>
      <c r="N43">
        <v>28.235948562622099</v>
      </c>
      <c r="O43">
        <v>50</v>
      </c>
      <c r="P43">
        <v>50.484378814697301</v>
      </c>
      <c r="Q43">
        <v>6.3270626068115199</v>
      </c>
      <c r="R43">
        <v>6.8332586288452202</v>
      </c>
      <c r="S43">
        <v>6.49998235702515</v>
      </c>
      <c r="T43" s="4">
        <v>0.66925233602523804</v>
      </c>
      <c r="U43">
        <v>10.16</v>
      </c>
      <c r="V43">
        <v>9.3000000000000007</v>
      </c>
      <c r="W43">
        <f t="shared" si="2"/>
        <v>9.7066819536727671</v>
      </c>
      <c r="X43" s="4">
        <f t="shared" si="0"/>
        <v>0.40668195367276638</v>
      </c>
      <c r="Y43" s="4">
        <f t="shared" si="1"/>
        <v>1.3118815017879617</v>
      </c>
      <c r="Z43" s="4">
        <v>0.30999900000000002</v>
      </c>
    </row>
    <row r="44" spans="1:26" x14ac:dyDescent="0.2">
      <c r="A44" t="s">
        <v>73</v>
      </c>
      <c r="B44">
        <v>148.81874084472699</v>
      </c>
      <c r="C44">
        <v>0</v>
      </c>
      <c r="D44">
        <v>183.65255737304699</v>
      </c>
      <c r="E44">
        <v>40.116729736328097</v>
      </c>
      <c r="F44">
        <v>6.3083338737487802</v>
      </c>
      <c r="G44">
        <v>65.655410766601605</v>
      </c>
      <c r="H44">
        <v>112.83261108398401</v>
      </c>
      <c r="I44">
        <v>41.789039611816399</v>
      </c>
      <c r="J44">
        <v>6.2999930381774902</v>
      </c>
      <c r="K44">
        <v>22.6859016418457</v>
      </c>
      <c r="L44">
        <v>113.276573181152</v>
      </c>
      <c r="M44">
        <v>0</v>
      </c>
      <c r="N44">
        <v>28.4476222991943</v>
      </c>
      <c r="O44">
        <v>50</v>
      </c>
      <c r="P44">
        <v>50.069740295410199</v>
      </c>
      <c r="Q44">
        <v>6.2954258918762198</v>
      </c>
      <c r="R44">
        <v>13.4318075180054</v>
      </c>
      <c r="S44">
        <v>6.4999909400939897</v>
      </c>
      <c r="T44" s="4">
        <v>0.67795974016189597</v>
      </c>
      <c r="U44">
        <v>10.58</v>
      </c>
      <c r="V44">
        <v>9.68</v>
      </c>
      <c r="W44">
        <f t="shared" si="2"/>
        <v>9.832972140567902</v>
      </c>
      <c r="X44" s="4">
        <f t="shared" si="0"/>
        <v>0.15297214056790231</v>
      </c>
      <c r="Y44" s="4">
        <f t="shared" si="1"/>
        <v>0.49346010976778087</v>
      </c>
      <c r="Z44" s="4">
        <v>0.30999900000000002</v>
      </c>
    </row>
    <row r="45" spans="1:26" x14ac:dyDescent="0.2">
      <c r="A45" t="s">
        <v>74</v>
      </c>
      <c r="B45">
        <v>150.15612792968801</v>
      </c>
      <c r="C45">
        <v>0</v>
      </c>
      <c r="D45">
        <v>179.49107360839801</v>
      </c>
      <c r="E45">
        <v>39.899745941162102</v>
      </c>
      <c r="F45">
        <v>6.2787570953369096</v>
      </c>
      <c r="G45">
        <v>66.718696594238295</v>
      </c>
      <c r="H45">
        <v>113.817436218262</v>
      </c>
      <c r="I45">
        <v>41.288547515869098</v>
      </c>
      <c r="J45">
        <v>6.2999863624572798</v>
      </c>
      <c r="K45">
        <v>23.404512405395501</v>
      </c>
      <c r="L45">
        <v>114.38930511474599</v>
      </c>
      <c r="M45">
        <v>0</v>
      </c>
      <c r="N45">
        <v>27.609733581543001</v>
      </c>
      <c r="O45">
        <v>52</v>
      </c>
      <c r="P45">
        <v>52.529052734375</v>
      </c>
      <c r="Q45">
        <v>6.2746486663818404</v>
      </c>
      <c r="R45">
        <v>7.8822264671325701</v>
      </c>
      <c r="S45">
        <v>6.4999866485595703</v>
      </c>
      <c r="T45" s="4">
        <v>0.67205381393432595</v>
      </c>
      <c r="U45">
        <v>10.63</v>
      </c>
      <c r="V45">
        <v>9.73</v>
      </c>
      <c r="W45">
        <f t="shared" si="2"/>
        <v>9.7473139449262582</v>
      </c>
      <c r="X45" s="4">
        <f t="shared" si="0"/>
        <v>1.7313944926257818E-2</v>
      </c>
      <c r="Y45" s="4">
        <f t="shared" si="1"/>
        <v>5.5851615412494289E-2</v>
      </c>
      <c r="Z45" s="4">
        <v>0.30999900000000002</v>
      </c>
    </row>
    <row r="46" spans="1:26" x14ac:dyDescent="0.2">
      <c r="A46" t="s">
        <v>75</v>
      </c>
      <c r="B46">
        <v>151.099044799805</v>
      </c>
      <c r="C46">
        <v>0</v>
      </c>
      <c r="D46">
        <v>174.24302673339801</v>
      </c>
      <c r="E46">
        <v>40.101154327392599</v>
      </c>
      <c r="F46">
        <v>6.2961583137512198</v>
      </c>
      <c r="G46">
        <v>65.370979309082003</v>
      </c>
      <c r="H46">
        <v>115.180015563965</v>
      </c>
      <c r="I46">
        <v>41.207454681396499</v>
      </c>
      <c r="J46">
        <v>6.29998683929443</v>
      </c>
      <c r="K46">
        <v>21.480998992919901</v>
      </c>
      <c r="L46">
        <v>114.438636779785</v>
      </c>
      <c r="M46">
        <v>0</v>
      </c>
      <c r="N46">
        <v>27.0503635406494</v>
      </c>
      <c r="O46">
        <v>52</v>
      </c>
      <c r="P46">
        <v>51.385738372802699</v>
      </c>
      <c r="Q46">
        <v>6.2961583137512198</v>
      </c>
      <c r="R46">
        <v>9.3439836502075195</v>
      </c>
      <c r="S46">
        <v>6.4999856948852504</v>
      </c>
      <c r="T46" s="4">
        <v>0.66289269924163796</v>
      </c>
      <c r="W46">
        <f t="shared" si="2"/>
        <v>9.6144432444798902</v>
      </c>
      <c r="X46" s="4">
        <f>+W46-V46</f>
        <v>9.6144432444798902</v>
      </c>
      <c r="Y46" s="4">
        <f t="shared" si="1"/>
        <v>31.014433093267687</v>
      </c>
      <c r="Z46" s="4">
        <v>0.30999900000000002</v>
      </c>
    </row>
    <row r="47" spans="1:26" x14ac:dyDescent="0.2">
      <c r="A47" t="s">
        <v>76</v>
      </c>
      <c r="B47">
        <v>149.988845825195</v>
      </c>
      <c r="C47">
        <v>0</v>
      </c>
      <c r="D47">
        <v>189.33078002929699</v>
      </c>
      <c r="E47">
        <v>37.8336181640625</v>
      </c>
      <c r="F47">
        <v>6.29864501953125</v>
      </c>
      <c r="G47">
        <v>67.621543884277301</v>
      </c>
      <c r="H47">
        <v>114.023361206055</v>
      </c>
      <c r="I47">
        <v>42.283958435058601</v>
      </c>
      <c r="J47">
        <v>6.29998779296875</v>
      </c>
      <c r="K47">
        <v>22.393945693969702</v>
      </c>
      <c r="L47">
        <v>114.336555480957</v>
      </c>
      <c r="M47">
        <v>0</v>
      </c>
      <c r="N47">
        <v>28.937759399414102</v>
      </c>
      <c r="O47">
        <v>52</v>
      </c>
      <c r="P47">
        <v>53.158180236816399</v>
      </c>
      <c r="Q47">
        <v>6.2998371124267596</v>
      </c>
      <c r="R47">
        <v>5.6096396446228001</v>
      </c>
      <c r="S47">
        <v>6.4999880790710503</v>
      </c>
      <c r="T47" s="4">
        <v>0.675625920295715</v>
      </c>
      <c r="W47">
        <f t="shared" si="2"/>
        <v>9.7991229540073821</v>
      </c>
      <c r="X47" s="4">
        <f t="shared" si="0"/>
        <v>9.7991229540073821</v>
      </c>
      <c r="Y47" s="4">
        <f t="shared" si="1"/>
        <v>31.610176013494822</v>
      </c>
      <c r="Z47" s="4">
        <v>0.30999900000000002</v>
      </c>
    </row>
    <row r="48" spans="1:26" x14ac:dyDescent="0.2">
      <c r="A48" t="s">
        <v>77</v>
      </c>
      <c r="B48">
        <v>151.61268615722699</v>
      </c>
      <c r="C48">
        <v>0</v>
      </c>
      <c r="D48">
        <v>170.12196350097699</v>
      </c>
      <c r="E48">
        <v>39.722236633300803</v>
      </c>
      <c r="F48">
        <v>6.2924456596374503</v>
      </c>
      <c r="G48">
        <v>66.989349365234403</v>
      </c>
      <c r="H48">
        <v>114.69321441650401</v>
      </c>
      <c r="I48">
        <v>41.754596710205099</v>
      </c>
      <c r="J48">
        <v>6.29998779296875</v>
      </c>
      <c r="K48">
        <v>19.959314346313501</v>
      </c>
      <c r="L48">
        <v>114.413734436035</v>
      </c>
      <c r="M48">
        <v>0</v>
      </c>
      <c r="N48">
        <v>27.040544509887699</v>
      </c>
      <c r="O48">
        <v>52</v>
      </c>
      <c r="P48">
        <v>51.928127288818402</v>
      </c>
      <c r="Q48">
        <v>6.2956676483154297</v>
      </c>
      <c r="R48">
        <v>9.10357570648193</v>
      </c>
      <c r="S48">
        <v>6.4999871253967303</v>
      </c>
      <c r="T48" s="4">
        <v>0.66750711202621504</v>
      </c>
      <c r="U48">
        <v>10.79</v>
      </c>
      <c r="V48">
        <v>9.8699999999999992</v>
      </c>
      <c r="W48">
        <f t="shared" si="2"/>
        <v>9.6813696261924562</v>
      </c>
      <c r="X48" s="4">
        <f t="shared" si="0"/>
        <v>-0.18863037380754299</v>
      </c>
      <c r="Y48" s="4">
        <f t="shared" si="1"/>
        <v>-0.608487039659944</v>
      </c>
      <c r="Z48" s="4">
        <v>0.30999900000000002</v>
      </c>
    </row>
    <row r="49" spans="1:26" x14ac:dyDescent="0.2">
      <c r="A49" t="s">
        <v>78</v>
      </c>
      <c r="B49">
        <v>151.29220581054699</v>
      </c>
      <c r="C49">
        <v>0</v>
      </c>
      <c r="D49">
        <v>170.43263244628901</v>
      </c>
      <c r="E49">
        <v>39.658679962158203</v>
      </c>
      <c r="F49">
        <v>6.3047609329223597</v>
      </c>
      <c r="G49">
        <v>66.952575683593807</v>
      </c>
      <c r="H49">
        <v>115.399467468262</v>
      </c>
      <c r="I49">
        <v>41.454948425292997</v>
      </c>
      <c r="J49">
        <v>6.2999825477600098</v>
      </c>
      <c r="K49">
        <v>19.574842453002901</v>
      </c>
      <c r="L49">
        <v>114.680389404297</v>
      </c>
      <c r="M49">
        <v>0</v>
      </c>
      <c r="N49">
        <v>25.635576248168899</v>
      </c>
      <c r="O49">
        <v>50</v>
      </c>
      <c r="P49">
        <v>49.583755493164098</v>
      </c>
      <c r="Q49">
        <v>6.3042092323303196</v>
      </c>
      <c r="R49">
        <v>9.1638002395629901</v>
      </c>
      <c r="S49">
        <v>6.49998283386231</v>
      </c>
      <c r="T49" s="4">
        <v>0.67234462499618497</v>
      </c>
      <c r="U49">
        <v>10.65</v>
      </c>
      <c r="V49">
        <v>9.75</v>
      </c>
      <c r="W49">
        <f t="shared" si="2"/>
        <v>9.7515318016809172</v>
      </c>
      <c r="X49" s="4">
        <f t="shared" si="0"/>
        <v>1.5318016809171553E-3</v>
      </c>
      <c r="Y49" s="4">
        <f t="shared" si="1"/>
        <v>4.9413116846091605E-3</v>
      </c>
      <c r="Z49" s="4">
        <v>0.30999900000000002</v>
      </c>
    </row>
    <row r="50" spans="1:26" x14ac:dyDescent="0.2">
      <c r="A50" t="s">
        <v>79</v>
      </c>
      <c r="B50">
        <v>151.28744506835901</v>
      </c>
      <c r="C50">
        <v>0</v>
      </c>
      <c r="D50">
        <v>169.06173706054699</v>
      </c>
      <c r="E50">
        <v>39.479656219482401</v>
      </c>
      <c r="F50">
        <v>6.28297996520996</v>
      </c>
      <c r="G50">
        <v>65.967590332031307</v>
      </c>
      <c r="H50">
        <v>114.95082855224599</v>
      </c>
      <c r="I50">
        <v>40.654075622558601</v>
      </c>
      <c r="J50">
        <v>6.2999863624572798</v>
      </c>
      <c r="K50">
        <v>20.774456024169901</v>
      </c>
      <c r="L50">
        <v>115.008140563965</v>
      </c>
      <c r="M50">
        <v>0</v>
      </c>
      <c r="N50">
        <v>26.6785793304443</v>
      </c>
      <c r="O50">
        <v>50</v>
      </c>
      <c r="P50">
        <v>50.136611938476598</v>
      </c>
      <c r="Q50">
        <v>6.2864899635314897</v>
      </c>
      <c r="R50">
        <v>7.4121985435485804</v>
      </c>
      <c r="S50">
        <v>6.4999861717224103</v>
      </c>
      <c r="T50" s="4">
        <v>0.664836585521698</v>
      </c>
      <c r="U50">
        <v>10.64</v>
      </c>
      <c r="V50">
        <v>9.74</v>
      </c>
      <c r="W50">
        <f t="shared" si="2"/>
        <v>9.642636923992038</v>
      </c>
      <c r="X50" s="4">
        <f t="shared" si="0"/>
        <v>-9.7363076007962235E-2</v>
      </c>
      <c r="Y50" s="4">
        <f t="shared" si="1"/>
        <v>-0.31407545188198099</v>
      </c>
      <c r="Z50" s="4">
        <v>0.30999900000000002</v>
      </c>
    </row>
    <row r="51" spans="1:26" x14ac:dyDescent="0.2">
      <c r="A51" t="s">
        <v>80</v>
      </c>
      <c r="B51">
        <v>149.120193481445</v>
      </c>
      <c r="C51">
        <v>0</v>
      </c>
      <c r="D51">
        <v>142.45773315429699</v>
      </c>
      <c r="E51">
        <v>39.392295837402301</v>
      </c>
      <c r="F51">
        <v>6.2645506858825701</v>
      </c>
      <c r="G51">
        <v>64.486885070800795</v>
      </c>
      <c r="H51">
        <v>112.373420715332</v>
      </c>
      <c r="I51">
        <v>39.510044097900398</v>
      </c>
      <c r="J51">
        <v>6.2999949455261204</v>
      </c>
      <c r="K51">
        <v>18.017009735107401</v>
      </c>
      <c r="L51">
        <v>112.069175720215</v>
      </c>
      <c r="M51">
        <v>0</v>
      </c>
      <c r="N51">
        <v>26.349512100219702</v>
      </c>
      <c r="O51">
        <v>50</v>
      </c>
      <c r="P51">
        <v>49.423587799072301</v>
      </c>
      <c r="Q51">
        <v>6.2645506858825701</v>
      </c>
      <c r="R51">
        <v>10.9087982177734</v>
      </c>
      <c r="S51">
        <v>6.4999947547912598</v>
      </c>
      <c r="T51" s="4">
        <v>0.66717594861984297</v>
      </c>
      <c r="U51">
        <v>10.63</v>
      </c>
      <c r="V51">
        <v>9.73</v>
      </c>
      <c r="W51">
        <f t="shared" si="2"/>
        <v>9.6765665083140195</v>
      </c>
      <c r="X51" s="4">
        <f t="shared" si="0"/>
        <v>-5.3433491685980883E-2</v>
      </c>
      <c r="Y51" s="4">
        <f t="shared" si="1"/>
        <v>-0.17236665823431971</v>
      </c>
      <c r="Z51" s="4">
        <v>0.30999900000000002</v>
      </c>
    </row>
    <row r="52" spans="1:26" x14ac:dyDescent="0.2">
      <c r="A52" t="s">
        <v>81</v>
      </c>
      <c r="B52">
        <v>148.11560058593801</v>
      </c>
      <c r="C52">
        <v>0</v>
      </c>
      <c r="D52">
        <v>155.24920654296901</v>
      </c>
      <c r="E52">
        <v>39.163383483886697</v>
      </c>
      <c r="F52">
        <v>6.3070826530456499</v>
      </c>
      <c r="G52">
        <v>64.421569824218807</v>
      </c>
      <c r="H52">
        <v>111.712509155273</v>
      </c>
      <c r="I52">
        <v>40.584793090820298</v>
      </c>
      <c r="J52">
        <v>6.2999949455261204</v>
      </c>
      <c r="K52">
        <v>19.372241973876999</v>
      </c>
      <c r="L52">
        <v>112.22991943359401</v>
      </c>
      <c r="M52">
        <v>0</v>
      </c>
      <c r="N52">
        <v>27.9653129577637</v>
      </c>
      <c r="O52">
        <v>50</v>
      </c>
      <c r="P52">
        <v>50.262504577636697</v>
      </c>
      <c r="Q52">
        <v>6.3060455322265598</v>
      </c>
      <c r="R52">
        <v>11.2685804367065</v>
      </c>
      <c r="S52">
        <v>6.4999933242797896</v>
      </c>
      <c r="T52" s="4">
        <v>0.67073041200637795</v>
      </c>
      <c r="U52">
        <v>9.86</v>
      </c>
      <c r="V52">
        <v>9.02</v>
      </c>
      <c r="W52">
        <f t="shared" si="2"/>
        <v>9.7281196277457447</v>
      </c>
      <c r="X52" s="4">
        <f t="shared" si="0"/>
        <v>0.70811962774574511</v>
      </c>
      <c r="Y52" s="4">
        <f t="shared" si="1"/>
        <v>2.2842642322902496</v>
      </c>
      <c r="Z52" s="4">
        <v>0.30999900000000002</v>
      </c>
    </row>
    <row r="53" spans="1:26" x14ac:dyDescent="0.2">
      <c r="A53" t="s">
        <v>82</v>
      </c>
      <c r="B53">
        <v>148.84182739257801</v>
      </c>
      <c r="C53">
        <v>0</v>
      </c>
      <c r="D53">
        <v>160.10853576660199</v>
      </c>
      <c r="E53">
        <v>38.128265380859403</v>
      </c>
      <c r="F53">
        <v>6.3536820411682102</v>
      </c>
      <c r="G53">
        <v>61.8301811218262</v>
      </c>
      <c r="H53">
        <v>110.62445068359401</v>
      </c>
      <c r="I53">
        <v>43.162448883056598</v>
      </c>
      <c r="J53">
        <v>6.2999863624572798</v>
      </c>
      <c r="K53">
        <v>19.655397415161101</v>
      </c>
      <c r="L53">
        <v>112.001426696777</v>
      </c>
      <c r="M53">
        <v>0</v>
      </c>
      <c r="N53">
        <v>27.523597717285199</v>
      </c>
      <c r="O53">
        <v>50</v>
      </c>
      <c r="P53">
        <v>50.394790649414098</v>
      </c>
      <c r="Q53">
        <v>6.3592767715454102</v>
      </c>
      <c r="R53">
        <v>7.3312044143676802</v>
      </c>
      <c r="S53">
        <v>6.4999866485595703</v>
      </c>
      <c r="T53" s="4">
        <v>0.64427512884140004</v>
      </c>
      <c r="U53">
        <v>9.94</v>
      </c>
      <c r="V53">
        <v>9.19</v>
      </c>
      <c r="W53">
        <f t="shared" si="2"/>
        <v>9.3444182854360314</v>
      </c>
      <c r="X53" s="4">
        <f t="shared" si="0"/>
        <v>0.15441828543603187</v>
      </c>
      <c r="Y53" s="4">
        <f t="shared" si="1"/>
        <v>0.49812510826174233</v>
      </c>
      <c r="Z53" s="4">
        <v>0.30999900000000002</v>
      </c>
    </row>
    <row r="54" spans="1:26" x14ac:dyDescent="0.2">
      <c r="A54" t="s">
        <v>83</v>
      </c>
      <c r="B54">
        <v>149.37384033203099</v>
      </c>
      <c r="C54">
        <v>0</v>
      </c>
      <c r="D54">
        <v>155.02017211914099</v>
      </c>
      <c r="E54">
        <v>38.755863189697301</v>
      </c>
      <c r="F54">
        <v>6.3167653083801296</v>
      </c>
      <c r="G54">
        <v>64.500465393066406</v>
      </c>
      <c r="H54">
        <v>112.088050842285</v>
      </c>
      <c r="I54">
        <v>43.792446136474602</v>
      </c>
      <c r="J54">
        <v>6.29998826980591</v>
      </c>
      <c r="K54">
        <v>19.015520095825199</v>
      </c>
      <c r="L54">
        <v>112.46453094482401</v>
      </c>
      <c r="M54">
        <v>0</v>
      </c>
      <c r="N54">
        <v>28.65407371521</v>
      </c>
      <c r="O54">
        <v>50</v>
      </c>
      <c r="P54">
        <v>50.796005249023402</v>
      </c>
      <c r="Q54">
        <v>6.3172173500061</v>
      </c>
      <c r="R54">
        <v>7.52388715744019</v>
      </c>
      <c r="S54">
        <v>6.4999880790710503</v>
      </c>
      <c r="T54" s="4">
        <v>0.66949564218521096</v>
      </c>
      <c r="U54">
        <v>10.83</v>
      </c>
      <c r="V54">
        <v>9.9</v>
      </c>
      <c r="W54">
        <f t="shared" si="2"/>
        <v>9.710210810256596</v>
      </c>
      <c r="X54" s="4">
        <f t="shared" si="0"/>
        <v>-0.18978918974340431</v>
      </c>
      <c r="Y54" s="4">
        <f t="shared" si="1"/>
        <v>-0.61222516764055457</v>
      </c>
      <c r="Z54" s="4">
        <v>0.30999900000000002</v>
      </c>
    </row>
    <row r="55" spans="1:26" x14ac:dyDescent="0.2">
      <c r="A55" t="s">
        <v>84</v>
      </c>
      <c r="B55">
        <v>149.38388061523401</v>
      </c>
      <c r="C55">
        <v>0</v>
      </c>
      <c r="D55">
        <v>161.233642578125</v>
      </c>
      <c r="E55">
        <v>39.462070465087898</v>
      </c>
      <c r="F55">
        <v>6.3309736251831099</v>
      </c>
      <c r="G55">
        <v>65.183952331542997</v>
      </c>
      <c r="H55">
        <v>112.664070129395</v>
      </c>
      <c r="I55">
        <v>43.264499664306598</v>
      </c>
      <c r="J55">
        <v>6.29998683929443</v>
      </c>
      <c r="K55">
        <v>19.221666336059599</v>
      </c>
      <c r="L55">
        <v>112.461395263672</v>
      </c>
      <c r="M55">
        <v>0</v>
      </c>
      <c r="N55">
        <v>28.313159942626999</v>
      </c>
      <c r="O55">
        <v>50</v>
      </c>
      <c r="P55">
        <v>50.298683166503899</v>
      </c>
      <c r="Q55">
        <v>6.3371644020080602</v>
      </c>
      <c r="R55">
        <v>9.6168165206909197</v>
      </c>
      <c r="S55">
        <v>6.4999876022338903</v>
      </c>
      <c r="T55" s="4">
        <v>0.66130024194717396</v>
      </c>
      <c r="U55">
        <v>10.64</v>
      </c>
      <c r="V55">
        <v>9.73</v>
      </c>
      <c r="W55">
        <f t="shared" si="2"/>
        <v>9.5913466101461626</v>
      </c>
      <c r="X55" s="4">
        <f t="shared" si="0"/>
        <v>-0.13865338985383779</v>
      </c>
      <c r="Y55" s="4">
        <f t="shared" si="1"/>
        <v>-0.44727044233638746</v>
      </c>
      <c r="Z55" s="4">
        <v>0.30999900000000002</v>
      </c>
    </row>
    <row r="56" spans="1:26" x14ac:dyDescent="0.2">
      <c r="A56" t="s">
        <v>85</v>
      </c>
      <c r="B56">
        <v>148.29258728027301</v>
      </c>
      <c r="C56">
        <v>0</v>
      </c>
      <c r="D56">
        <v>149.48284912109401</v>
      </c>
      <c r="E56">
        <v>38.300041198730497</v>
      </c>
      <c r="F56">
        <v>6.2992105484008798</v>
      </c>
      <c r="G56">
        <v>63.860363006591797</v>
      </c>
      <c r="H56">
        <v>111.21965789794901</v>
      </c>
      <c r="I56">
        <v>39.860446929931598</v>
      </c>
      <c r="J56">
        <v>6.2999854087829599</v>
      </c>
      <c r="K56">
        <v>19.286745071411101</v>
      </c>
      <c r="L56">
        <v>112.44426727294901</v>
      </c>
      <c r="M56">
        <v>0</v>
      </c>
      <c r="N56">
        <v>27.174013137817401</v>
      </c>
      <c r="O56">
        <v>50</v>
      </c>
      <c r="P56">
        <v>50.214775085449197</v>
      </c>
      <c r="Q56">
        <v>6.3044877052307102</v>
      </c>
      <c r="R56">
        <v>7.6581830978393599</v>
      </c>
      <c r="S56">
        <v>6.4999861717224103</v>
      </c>
      <c r="T56" s="4">
        <v>0.66857695579528797</v>
      </c>
      <c r="U56">
        <v>11.57</v>
      </c>
      <c r="V56">
        <v>10.58</v>
      </c>
      <c r="W56">
        <f t="shared" si="2"/>
        <v>9.6968863941550243</v>
      </c>
      <c r="X56" s="4">
        <f t="shared" si="0"/>
        <v>-0.88311360584497578</v>
      </c>
      <c r="Y56" s="4">
        <f t="shared" si="1"/>
        <v>-2.8487627567991369</v>
      </c>
      <c r="Z56" s="4">
        <v>0.30999900000000002</v>
      </c>
    </row>
    <row r="57" spans="1:26" x14ac:dyDescent="0.2">
      <c r="A57" t="s">
        <v>86</v>
      </c>
      <c r="B57">
        <v>148.13331604003901</v>
      </c>
      <c r="C57">
        <v>0</v>
      </c>
      <c r="D57">
        <v>136.10328674316401</v>
      </c>
      <c r="E57">
        <v>38.912258148193402</v>
      </c>
      <c r="F57">
        <v>6.2881650924682599</v>
      </c>
      <c r="G57">
        <v>65.675804138183594</v>
      </c>
      <c r="H57">
        <v>113.019424438477</v>
      </c>
      <c r="I57">
        <v>39.606918334960902</v>
      </c>
      <c r="J57">
        <v>6.2999901771545401</v>
      </c>
      <c r="K57">
        <v>17.336988449096701</v>
      </c>
      <c r="L57">
        <v>112.001083374023</v>
      </c>
      <c r="M57">
        <v>0</v>
      </c>
      <c r="N57">
        <v>25.720645904541001</v>
      </c>
      <c r="O57">
        <v>50</v>
      </c>
      <c r="P57">
        <v>49.547920227050803</v>
      </c>
      <c r="Q57">
        <v>6.2840476036071804</v>
      </c>
      <c r="R57">
        <v>10.8054361343384</v>
      </c>
      <c r="S57">
        <v>6.4999909400939897</v>
      </c>
      <c r="T57" s="4">
        <v>0.65682303905487105</v>
      </c>
      <c r="U57">
        <v>10.26</v>
      </c>
      <c r="V57">
        <v>9.3800000000000008</v>
      </c>
      <c r="W57">
        <f t="shared" si="2"/>
        <v>9.5264102891528673</v>
      </c>
      <c r="X57" s="4">
        <f t="shared" si="0"/>
        <v>0.14641028915286647</v>
      </c>
      <c r="Y57" s="4">
        <f t="shared" si="1"/>
        <v>0.47229277885692039</v>
      </c>
      <c r="Z57" s="4">
        <v>0.30999900000000002</v>
      </c>
    </row>
    <row r="58" spans="1:26" x14ac:dyDescent="0.2">
      <c r="A58" t="s">
        <v>87</v>
      </c>
      <c r="B58">
        <v>149.33285522460901</v>
      </c>
      <c r="C58">
        <v>0</v>
      </c>
      <c r="D58">
        <v>138.12725830078099</v>
      </c>
      <c r="E58">
        <v>39.017711639404297</v>
      </c>
      <c r="F58">
        <v>6.2898659706115696</v>
      </c>
      <c r="G58">
        <v>65.749046325683594</v>
      </c>
      <c r="H58">
        <v>112.14517211914099</v>
      </c>
      <c r="I58">
        <v>39.585517883300803</v>
      </c>
      <c r="J58">
        <v>6.2999863624572798</v>
      </c>
      <c r="K58">
        <v>17.653497695922901</v>
      </c>
      <c r="L58">
        <v>112.489013671875</v>
      </c>
      <c r="M58">
        <v>0</v>
      </c>
      <c r="N58">
        <v>24.941165924072301</v>
      </c>
      <c r="O58">
        <v>50</v>
      </c>
      <c r="P58">
        <v>49.242767333984403</v>
      </c>
      <c r="Q58">
        <v>6.2885408401489302</v>
      </c>
      <c r="R58">
        <v>9.8749094009399396</v>
      </c>
      <c r="S58">
        <v>6.4999866485595703</v>
      </c>
      <c r="T58" s="4">
        <v>0.66170406341552701</v>
      </c>
      <c r="U58">
        <v>10</v>
      </c>
      <c r="V58">
        <v>9.82</v>
      </c>
      <c r="W58">
        <f t="shared" si="2"/>
        <v>9.597203543844218</v>
      </c>
      <c r="X58" s="4">
        <f t="shared" si="0"/>
        <v>-0.22279645615578225</v>
      </c>
      <c r="Y58" s="4">
        <f t="shared" si="1"/>
        <v>-0.71870056405272997</v>
      </c>
      <c r="Z58" s="4">
        <v>0.30999900000000002</v>
      </c>
    </row>
    <row r="59" spans="1:26" x14ac:dyDescent="0.2">
      <c r="A59" t="s">
        <v>88</v>
      </c>
      <c r="B59">
        <v>149.30311584472699</v>
      </c>
      <c r="C59">
        <v>0</v>
      </c>
      <c r="D59">
        <v>152.94413757324199</v>
      </c>
      <c r="E59">
        <v>37.334804534912102</v>
      </c>
      <c r="F59">
        <v>6.2808156013488796</v>
      </c>
      <c r="G59">
        <v>64.918395996093807</v>
      </c>
      <c r="H59">
        <v>112.349807739258</v>
      </c>
      <c r="I59">
        <v>40.363853454589801</v>
      </c>
      <c r="J59">
        <v>6.29998731613159</v>
      </c>
      <c r="K59">
        <v>19.3677787780762</v>
      </c>
      <c r="L59">
        <v>112.33083343505901</v>
      </c>
      <c r="M59">
        <v>0</v>
      </c>
      <c r="N59">
        <v>25.403760910034201</v>
      </c>
      <c r="O59">
        <v>50</v>
      </c>
      <c r="P59">
        <v>49.526851654052699</v>
      </c>
      <c r="Q59">
        <v>6.2865195274353001</v>
      </c>
      <c r="R59">
        <v>10.162865638732899</v>
      </c>
      <c r="S59">
        <v>6.4999866485595703</v>
      </c>
      <c r="T59" s="4">
        <v>0.66528660058975198</v>
      </c>
      <c r="W59">
        <f t="shared" si="2"/>
        <v>9.6491638390356265</v>
      </c>
      <c r="X59" s="4">
        <f t="shared" si="0"/>
        <v>9.6491638390356265</v>
      </c>
      <c r="Y59" s="4">
        <f t="shared" si="1"/>
        <v>31.126435372487091</v>
      </c>
      <c r="Z59" s="4">
        <v>0.30999900000000002</v>
      </c>
    </row>
    <row r="60" spans="1:26" x14ac:dyDescent="0.2">
      <c r="A60" t="s">
        <v>89</v>
      </c>
      <c r="B60">
        <v>149.58705139160199</v>
      </c>
      <c r="C60">
        <v>0</v>
      </c>
      <c r="D60">
        <v>163.90765380859401</v>
      </c>
      <c r="E60">
        <v>36.946765899658203</v>
      </c>
      <c r="F60">
        <v>6.29599952697754</v>
      </c>
      <c r="G60">
        <v>65.143424987792997</v>
      </c>
      <c r="H60">
        <v>112.814727783203</v>
      </c>
      <c r="I60">
        <v>41.712333679199197</v>
      </c>
      <c r="J60">
        <v>6.29998826980591</v>
      </c>
      <c r="K60">
        <v>20.7952270507813</v>
      </c>
      <c r="L60">
        <v>112.342651367188</v>
      </c>
      <c r="M60">
        <v>0</v>
      </c>
      <c r="N60">
        <v>27.073747634887699</v>
      </c>
      <c r="O60">
        <v>50</v>
      </c>
      <c r="P60">
        <v>50.524105072021499</v>
      </c>
      <c r="Q60">
        <v>6.2962899208068901</v>
      </c>
      <c r="R60">
        <v>9.8655672073364293</v>
      </c>
      <c r="S60">
        <v>6.4999885559081996</v>
      </c>
      <c r="T60" s="4">
        <v>0.66696208715438798</v>
      </c>
      <c r="W60">
        <f t="shared" si="2"/>
        <v>9.6734647108071972</v>
      </c>
      <c r="X60" s="4">
        <f t="shared" si="0"/>
        <v>9.6734647108071972</v>
      </c>
      <c r="Y60" s="4">
        <f t="shared" si="1"/>
        <v>31.204825534299133</v>
      </c>
      <c r="Z60" s="4">
        <v>0.30999900000000002</v>
      </c>
    </row>
    <row r="61" spans="1:26" x14ac:dyDescent="0.2">
      <c r="A61" t="s">
        <v>90</v>
      </c>
      <c r="B61">
        <v>148.19535827636699</v>
      </c>
      <c r="C61">
        <v>0</v>
      </c>
      <c r="D61">
        <v>172.19647216796901</v>
      </c>
      <c r="E61">
        <v>36.802291870117202</v>
      </c>
      <c r="F61">
        <v>6.2902941703796396</v>
      </c>
      <c r="G61">
        <v>64.240219116210895</v>
      </c>
      <c r="H61">
        <v>112.57769775390599</v>
      </c>
      <c r="I61">
        <v>41.964542388916001</v>
      </c>
      <c r="J61">
        <v>6.29998826980591</v>
      </c>
      <c r="K61">
        <v>20.9720363616943</v>
      </c>
      <c r="L61">
        <v>112.00666809082</v>
      </c>
      <c r="M61">
        <v>0</v>
      </c>
      <c r="N61">
        <v>28.030530929565401</v>
      </c>
      <c r="O61">
        <v>50</v>
      </c>
      <c r="P61">
        <v>50.145713806152301</v>
      </c>
      <c r="Q61">
        <v>6.2855195999145499</v>
      </c>
      <c r="R61">
        <v>9.1679754257202202</v>
      </c>
      <c r="S61">
        <v>6.4999885559081996</v>
      </c>
      <c r="T61" s="4">
        <v>0.66651707887649503</v>
      </c>
      <c r="U61">
        <v>10.31</v>
      </c>
      <c r="V61">
        <v>9.41</v>
      </c>
      <c r="W61">
        <f t="shared" si="2"/>
        <v>9.6670104130965413</v>
      </c>
      <c r="X61" s="4">
        <f t="shared" si="0"/>
        <v>0.25701041309654116</v>
      </c>
      <c r="Y61" s="4">
        <f t="shared" si="1"/>
        <v>0.82906852311311052</v>
      </c>
      <c r="Z61" s="4">
        <v>0.30999900000000002</v>
      </c>
    </row>
    <row r="62" spans="1:26" x14ac:dyDescent="0.2">
      <c r="A62" t="s">
        <v>91</v>
      </c>
      <c r="B62">
        <v>154.54129028320301</v>
      </c>
      <c r="C62">
        <v>0</v>
      </c>
      <c r="D62">
        <v>238.91331481933599</v>
      </c>
      <c r="E62">
        <v>39.547664642333999</v>
      </c>
      <c r="F62">
        <v>6.2485461235046396</v>
      </c>
      <c r="G62">
        <v>69.877838134765597</v>
      </c>
      <c r="H62">
        <v>118.866905212402</v>
      </c>
      <c r="I62">
        <v>45.070953369140597</v>
      </c>
      <c r="J62">
        <v>6.29998731613159</v>
      </c>
      <c r="K62">
        <v>29.964565277099599</v>
      </c>
      <c r="L62">
        <v>117.936248779297</v>
      </c>
      <c r="M62">
        <v>0</v>
      </c>
      <c r="N62">
        <v>27.6777667999268</v>
      </c>
      <c r="O62">
        <v>50</v>
      </c>
      <c r="P62">
        <v>50.201126098632798</v>
      </c>
      <c r="Q62">
        <v>6.2561988830566397</v>
      </c>
      <c r="R62">
        <v>9.9437465667724592</v>
      </c>
      <c r="S62">
        <v>6.4999852180481001</v>
      </c>
      <c r="T62" s="4">
        <v>0.66584748029708896</v>
      </c>
      <c r="U62">
        <v>10.07</v>
      </c>
      <c r="V62">
        <v>9.23</v>
      </c>
      <c r="W62">
        <f t="shared" si="2"/>
        <v>9.6572987093085096</v>
      </c>
      <c r="X62" s="4">
        <f t="shared" si="0"/>
        <v>0.42729870930850922</v>
      </c>
      <c r="Y62" s="4">
        <f t="shared" si="1"/>
        <v>1.3783873796641575</v>
      </c>
      <c r="Z62" s="4">
        <v>0.30999900000000002</v>
      </c>
    </row>
    <row r="63" spans="1:26" x14ac:dyDescent="0.2">
      <c r="A63" t="s">
        <v>92</v>
      </c>
      <c r="B63">
        <v>153.32539367675801</v>
      </c>
      <c r="C63">
        <v>0</v>
      </c>
      <c r="D63">
        <v>206.903076171875</v>
      </c>
      <c r="E63">
        <v>40.3303413391113</v>
      </c>
      <c r="F63">
        <v>6.28204250335693</v>
      </c>
      <c r="G63">
        <v>68.937225341796903</v>
      </c>
      <c r="H63">
        <v>117.86757659912099</v>
      </c>
      <c r="I63">
        <v>42.066329956054702</v>
      </c>
      <c r="J63">
        <v>6.2999863624572798</v>
      </c>
      <c r="K63">
        <v>24.764589309692401</v>
      </c>
      <c r="L63">
        <v>118.782035827637</v>
      </c>
      <c r="M63">
        <v>0</v>
      </c>
      <c r="N63">
        <v>26.745241165161101</v>
      </c>
      <c r="O63">
        <v>50</v>
      </c>
      <c r="P63">
        <v>50.005508422851598</v>
      </c>
      <c r="Q63">
        <v>6.28204250335693</v>
      </c>
      <c r="R63">
        <v>8.9401388168334996</v>
      </c>
      <c r="S63">
        <v>6.4999861717224103</v>
      </c>
      <c r="T63" s="4">
        <v>0.679651498794556</v>
      </c>
      <c r="U63">
        <v>9.08</v>
      </c>
      <c r="V63">
        <v>8.31</v>
      </c>
      <c r="W63">
        <f t="shared" si="2"/>
        <v>9.8575090186715162</v>
      </c>
      <c r="X63" s="4">
        <f t="shared" si="0"/>
        <v>1.5475090186715157</v>
      </c>
      <c r="Y63" s="4">
        <f t="shared" si="1"/>
        <v>4.99198067952321</v>
      </c>
      <c r="Z63" s="4">
        <v>0.30999900000000002</v>
      </c>
    </row>
    <row r="64" spans="1:26" x14ac:dyDescent="0.2">
      <c r="A64" t="s">
        <v>93</v>
      </c>
      <c r="B64">
        <v>154.39685058593801</v>
      </c>
      <c r="C64">
        <v>0</v>
      </c>
      <c r="D64">
        <v>201.47474670410199</v>
      </c>
      <c r="E64">
        <v>41.752117156982401</v>
      </c>
      <c r="F64">
        <v>6.2979288101196298</v>
      </c>
      <c r="G64">
        <v>69.205917358398395</v>
      </c>
      <c r="H64">
        <v>119.325805664063</v>
      </c>
      <c r="I64">
        <v>42.765754699707003</v>
      </c>
      <c r="J64">
        <v>6.2999863624572798</v>
      </c>
      <c r="K64">
        <v>24.523876190185501</v>
      </c>
      <c r="L64">
        <v>119.045402526855</v>
      </c>
      <c r="M64">
        <v>0</v>
      </c>
      <c r="N64">
        <v>26.460695266723601</v>
      </c>
      <c r="O64">
        <v>50</v>
      </c>
      <c r="P64">
        <v>49.582191467285199</v>
      </c>
      <c r="Q64">
        <v>6.2979288101196298</v>
      </c>
      <c r="R64">
        <v>10.306487083435099</v>
      </c>
      <c r="S64">
        <v>6.4999866485595703</v>
      </c>
      <c r="T64" s="4">
        <v>0.67839998006820701</v>
      </c>
      <c r="U64">
        <v>9.67</v>
      </c>
      <c r="V64">
        <v>8.85</v>
      </c>
      <c r="W64">
        <f t="shared" si="2"/>
        <v>9.8393572789138588</v>
      </c>
      <c r="X64" s="4">
        <f t="shared" si="0"/>
        <v>0.98935727891385916</v>
      </c>
      <c r="Y64" s="4">
        <f t="shared" si="1"/>
        <v>3.1914853883846694</v>
      </c>
      <c r="Z64" s="4">
        <v>0.30999900000000002</v>
      </c>
    </row>
    <row r="65" spans="1:26" x14ac:dyDescent="0.2">
      <c r="A65" t="s">
        <v>93</v>
      </c>
      <c r="B65">
        <v>154.39685058593801</v>
      </c>
      <c r="C65">
        <v>0</v>
      </c>
      <c r="D65">
        <v>201.47474670410199</v>
      </c>
      <c r="E65">
        <v>41.752117156982401</v>
      </c>
      <c r="F65">
        <v>6.2979288101196298</v>
      </c>
      <c r="G65">
        <v>69.205917358398395</v>
      </c>
      <c r="H65">
        <v>119.325805664063</v>
      </c>
      <c r="I65">
        <v>42.765754699707003</v>
      </c>
      <c r="J65">
        <v>6.2999863624572798</v>
      </c>
      <c r="K65">
        <v>24.523876190185501</v>
      </c>
      <c r="L65">
        <v>119.045402526855</v>
      </c>
      <c r="M65">
        <v>0</v>
      </c>
      <c r="N65">
        <v>26.460695266723601</v>
      </c>
      <c r="O65">
        <v>50</v>
      </c>
      <c r="P65">
        <v>49.582191467285199</v>
      </c>
      <c r="Q65">
        <v>6.2979288101196298</v>
      </c>
      <c r="R65">
        <v>10.306487083435099</v>
      </c>
      <c r="S65">
        <v>6.4999866485595703</v>
      </c>
      <c r="T65" s="4">
        <v>0.67839998006820701</v>
      </c>
      <c r="U65">
        <v>9.02</v>
      </c>
      <c r="V65">
        <v>8.36</v>
      </c>
      <c r="W65">
        <f t="shared" si="2"/>
        <v>9.8393572789138588</v>
      </c>
      <c r="X65" s="4">
        <f t="shared" si="0"/>
        <v>1.4793572789138594</v>
      </c>
      <c r="Y65" s="4">
        <f t="shared" si="1"/>
        <v>4.7721356485467989</v>
      </c>
      <c r="Z65" s="4">
        <v>0.30999900000000002</v>
      </c>
    </row>
    <row r="66" spans="1:26" x14ac:dyDescent="0.2">
      <c r="A66" t="s">
        <v>94</v>
      </c>
      <c r="B66">
        <v>155.45866394043</v>
      </c>
      <c r="C66">
        <v>0</v>
      </c>
      <c r="D66">
        <v>181.99737548828099</v>
      </c>
      <c r="E66">
        <v>43.9141845703125</v>
      </c>
      <c r="F66">
        <v>6.0237975120544398</v>
      </c>
      <c r="G66">
        <v>74.449264526367202</v>
      </c>
      <c r="H66">
        <v>121.64436340332</v>
      </c>
      <c r="I66">
        <v>38.2564697265625</v>
      </c>
      <c r="J66">
        <v>6.1999998092651403</v>
      </c>
      <c r="K66">
        <v>22.524448394775401</v>
      </c>
      <c r="L66">
        <v>118</v>
      </c>
      <c r="M66">
        <v>0</v>
      </c>
      <c r="N66">
        <v>22.692613601684599</v>
      </c>
      <c r="O66">
        <v>50</v>
      </c>
      <c r="P66">
        <v>49.356494903564503</v>
      </c>
      <c r="Q66">
        <v>6.02718257904053</v>
      </c>
      <c r="R66">
        <v>6.1066269874572798</v>
      </c>
      <c r="S66">
        <v>6.3999996185302699</v>
      </c>
      <c r="T66" s="4">
        <v>0.65465337038040206</v>
      </c>
      <c r="W66">
        <f t="shared" si="2"/>
        <v>9.4949419137221636</v>
      </c>
      <c r="X66" s="4">
        <f t="shared" si="0"/>
        <v>9.4949419137221636</v>
      </c>
      <c r="Y66" s="4">
        <f t="shared" si="1"/>
        <v>30.628943686018868</v>
      </c>
      <c r="Z66" s="4">
        <v>0.30999900000000002</v>
      </c>
    </row>
    <row r="67" spans="1:26" x14ac:dyDescent="0.2">
      <c r="A67" t="s">
        <v>95</v>
      </c>
      <c r="B67">
        <v>153.72869873046901</v>
      </c>
      <c r="C67">
        <v>0</v>
      </c>
      <c r="D67">
        <v>213.35223388671901</v>
      </c>
      <c r="E67">
        <v>39.228755950927699</v>
      </c>
      <c r="F67">
        <v>6.2877850532531703</v>
      </c>
      <c r="G67">
        <v>65.633407592773395</v>
      </c>
      <c r="H67">
        <v>117.38356781005901</v>
      </c>
      <c r="I67">
        <v>43.499584197998097</v>
      </c>
      <c r="J67">
        <v>6.2997488975524902</v>
      </c>
      <c r="K67">
        <v>29.936914443969702</v>
      </c>
      <c r="L67">
        <v>116.961380004883</v>
      </c>
      <c r="M67">
        <v>0</v>
      </c>
      <c r="N67">
        <v>28.296928405761701</v>
      </c>
      <c r="O67">
        <v>50</v>
      </c>
      <c r="P67">
        <v>50.010540008544901</v>
      </c>
      <c r="Q67">
        <v>6.2789282798767099</v>
      </c>
      <c r="R67">
        <v>11.862891197204601</v>
      </c>
      <c r="S67">
        <v>6.4997487068176296</v>
      </c>
      <c r="T67" s="4">
        <v>0.66722404956817605</v>
      </c>
      <c r="U67">
        <v>12.35</v>
      </c>
      <c r="V67">
        <v>10.3</v>
      </c>
      <c r="W67">
        <f t="shared" si="2"/>
        <v>9.6772641534054245</v>
      </c>
      <c r="X67" s="4">
        <f t="shared" si="0"/>
        <v>-0.62273584659457626</v>
      </c>
      <c r="Y67" s="4">
        <f t="shared" si="1"/>
        <v>-2.0088317916979608</v>
      </c>
      <c r="Z67" s="4">
        <v>0.30999900000000002</v>
      </c>
    </row>
    <row r="68" spans="1:26" x14ac:dyDescent="0.2">
      <c r="A68" t="s">
        <v>96</v>
      </c>
      <c r="B68">
        <v>150.32339477539099</v>
      </c>
      <c r="C68">
        <v>0</v>
      </c>
      <c r="D68">
        <v>183.907150268555</v>
      </c>
      <c r="E68">
        <v>38.075634002685597</v>
      </c>
      <c r="F68">
        <v>6.3491291999816903</v>
      </c>
      <c r="G68">
        <v>65.646560668945298</v>
      </c>
      <c r="H68">
        <v>113.372932434082</v>
      </c>
      <c r="I68">
        <v>45.439010620117202</v>
      </c>
      <c r="J68">
        <v>6.2999906539917001</v>
      </c>
      <c r="K68">
        <v>24.228910446166999</v>
      </c>
      <c r="L68">
        <v>113.90521240234401</v>
      </c>
      <c r="M68">
        <v>0</v>
      </c>
      <c r="N68">
        <v>28.138492584228501</v>
      </c>
      <c r="O68">
        <v>50</v>
      </c>
      <c r="P68">
        <v>50.286922454833999</v>
      </c>
      <c r="Q68">
        <v>6.3572120666503897</v>
      </c>
      <c r="R68">
        <v>9.6058225631713903</v>
      </c>
      <c r="S68">
        <v>6.4999914169311497</v>
      </c>
      <c r="T68" s="4">
        <v>0.67167830467224099</v>
      </c>
      <c r="U68">
        <v>10.87</v>
      </c>
      <c r="V68">
        <v>9.07</v>
      </c>
      <c r="W68">
        <f t="shared" si="2"/>
        <v>9.741867644956109</v>
      </c>
      <c r="X68" s="4">
        <f t="shared" si="0"/>
        <v>0.67186764495610873</v>
      </c>
      <c r="Y68" s="4">
        <f t="shared" si="1"/>
        <v>2.167321975090593</v>
      </c>
      <c r="Z68" s="4">
        <v>0.30999900000000002</v>
      </c>
    </row>
    <row r="69" spans="1:26" x14ac:dyDescent="0.2">
      <c r="A69" t="s">
        <v>97</v>
      </c>
      <c r="B69">
        <v>149.888259887695</v>
      </c>
      <c r="C69">
        <v>0</v>
      </c>
      <c r="D69">
        <v>165.33197021484401</v>
      </c>
      <c r="E69">
        <v>38.468990325927699</v>
      </c>
      <c r="F69">
        <v>6.2466406822204599</v>
      </c>
      <c r="G69">
        <v>66.439163208007798</v>
      </c>
      <c r="H69">
        <v>114.43366241455099</v>
      </c>
      <c r="I69">
        <v>40.157352447509801</v>
      </c>
      <c r="J69">
        <v>6.29998779296875</v>
      </c>
      <c r="K69">
        <v>19.927024841308601</v>
      </c>
      <c r="L69">
        <v>112.88262939453099</v>
      </c>
      <c r="M69">
        <v>0</v>
      </c>
      <c r="N69">
        <v>26.129680633544901</v>
      </c>
      <c r="O69">
        <v>50</v>
      </c>
      <c r="P69">
        <v>49.719993591308601</v>
      </c>
      <c r="Q69">
        <v>6.2472438812255904</v>
      </c>
      <c r="R69">
        <v>7.74751996994019</v>
      </c>
      <c r="S69">
        <v>6.4999880790710503</v>
      </c>
      <c r="T69" s="4">
        <v>0.67034405469894398</v>
      </c>
      <c r="U69">
        <v>10.36</v>
      </c>
      <c r="V69">
        <v>9.4700000000000006</v>
      </c>
      <c r="W69">
        <f t="shared" si="2"/>
        <v>9.7225159902209022</v>
      </c>
      <c r="X69" s="4">
        <f t="shared" si="0"/>
        <v>0.25251599022090154</v>
      </c>
      <c r="Y69" s="4">
        <f t="shared" si="1"/>
        <v>0.81457033803625667</v>
      </c>
      <c r="Z69" s="4">
        <v>0.30999900000000002</v>
      </c>
    </row>
    <row r="70" spans="1:26" x14ac:dyDescent="0.2">
      <c r="A70" t="s">
        <v>98</v>
      </c>
      <c r="B70">
        <v>150.23599243164099</v>
      </c>
      <c r="C70">
        <v>0</v>
      </c>
      <c r="D70">
        <v>154.55059814453099</v>
      </c>
      <c r="E70">
        <v>37.924961090087898</v>
      </c>
      <c r="F70">
        <v>6.28017330169678</v>
      </c>
      <c r="G70">
        <v>65.739418029785199</v>
      </c>
      <c r="H70">
        <v>113.991706848145</v>
      </c>
      <c r="I70">
        <v>41.096462249755902</v>
      </c>
      <c r="J70">
        <v>6.2999858856201199</v>
      </c>
      <c r="K70">
        <v>19.639457702636701</v>
      </c>
      <c r="L70">
        <v>113.88043975830099</v>
      </c>
      <c r="M70">
        <v>0</v>
      </c>
      <c r="N70">
        <v>25.231601715087901</v>
      </c>
      <c r="O70">
        <v>50</v>
      </c>
      <c r="P70">
        <v>49.894908905029297</v>
      </c>
      <c r="Q70">
        <v>6.2757983207702601</v>
      </c>
      <c r="R70">
        <v>8.9708251953125</v>
      </c>
      <c r="S70">
        <v>6.4999856948852504</v>
      </c>
      <c r="T70" s="4">
        <v>0.66654670238494895</v>
      </c>
      <c r="U70">
        <v>10.88</v>
      </c>
      <c r="V70">
        <v>9.9499999999999993</v>
      </c>
      <c r="W70">
        <f t="shared" ref="W70:W133" si="3">T70*14.50377</f>
        <v>9.6674400656497514</v>
      </c>
      <c r="X70" s="4">
        <f t="shared" ref="X70:X133" si="4">+W70-V70</f>
        <v>-0.28255993435024784</v>
      </c>
      <c r="Y70" s="4">
        <f t="shared" ref="Y70:Y133" si="5">+X70/Z70</f>
        <v>-0.91148659947370092</v>
      </c>
      <c r="Z70" s="4">
        <v>0.30999900000000002</v>
      </c>
    </row>
    <row r="71" spans="1:26" x14ac:dyDescent="0.2">
      <c r="A71" t="s">
        <v>99</v>
      </c>
      <c r="B71">
        <v>151.21418762207</v>
      </c>
      <c r="C71">
        <v>0</v>
      </c>
      <c r="D71">
        <v>183.21253967285199</v>
      </c>
      <c r="E71">
        <v>38.767036437988303</v>
      </c>
      <c r="F71">
        <v>6.3248796463012704</v>
      </c>
      <c r="G71">
        <v>65.891754150390597</v>
      </c>
      <c r="H71">
        <v>113.27487945556599</v>
      </c>
      <c r="I71">
        <v>44.461433410644503</v>
      </c>
      <c r="J71">
        <v>6.2999863624572798</v>
      </c>
      <c r="K71">
        <v>22.953701019287099</v>
      </c>
      <c r="L71">
        <v>114.332153320313</v>
      </c>
      <c r="M71">
        <v>0</v>
      </c>
      <c r="N71">
        <v>26.9374885559082</v>
      </c>
      <c r="O71">
        <v>50</v>
      </c>
      <c r="P71">
        <v>50.1915473937988</v>
      </c>
      <c r="Q71">
        <v>6.3224749565124503</v>
      </c>
      <c r="R71">
        <v>9.2367630004882795</v>
      </c>
      <c r="S71">
        <v>6.4999861717224103</v>
      </c>
      <c r="T71" s="4">
        <v>0.67510771751403797</v>
      </c>
      <c r="U71">
        <v>10.82</v>
      </c>
      <c r="V71">
        <v>9.89</v>
      </c>
      <c r="W71">
        <f t="shared" si="3"/>
        <v>9.7916070600485785</v>
      </c>
      <c r="X71" s="4">
        <f t="shared" si="4"/>
        <v>-9.8392939951422065E-2</v>
      </c>
      <c r="Y71" s="4">
        <f t="shared" si="5"/>
        <v>-0.31739760435169811</v>
      </c>
      <c r="Z71" s="4">
        <v>0.30999900000000002</v>
      </c>
    </row>
    <row r="72" spans="1:26" x14ac:dyDescent="0.2">
      <c r="A72" t="s">
        <v>100</v>
      </c>
      <c r="B72">
        <v>148.36750793457</v>
      </c>
      <c r="C72">
        <v>0</v>
      </c>
      <c r="D72">
        <v>163.12132263183599</v>
      </c>
      <c r="E72">
        <v>37.886219024658203</v>
      </c>
      <c r="F72">
        <v>6.2948040962219203</v>
      </c>
      <c r="G72">
        <v>64.295730590820298</v>
      </c>
      <c r="H72">
        <v>112.33705902099599</v>
      </c>
      <c r="I72">
        <v>41.608978271484403</v>
      </c>
      <c r="J72">
        <v>6.2999944686889702</v>
      </c>
      <c r="K72">
        <v>20.549726486206101</v>
      </c>
      <c r="L72">
        <v>112.13214874267599</v>
      </c>
      <c r="M72">
        <v>0</v>
      </c>
      <c r="N72">
        <v>27.1510200500488</v>
      </c>
      <c r="O72">
        <v>50</v>
      </c>
      <c r="P72">
        <v>50.098480224609403</v>
      </c>
      <c r="Q72">
        <v>6.2877874374389702</v>
      </c>
      <c r="R72">
        <v>9.6786203384399396</v>
      </c>
      <c r="S72">
        <v>6.4999952316284197</v>
      </c>
      <c r="T72" s="4">
        <v>0.66696625947952304</v>
      </c>
      <c r="U72">
        <v>10.050000000000001</v>
      </c>
      <c r="V72">
        <v>9.19</v>
      </c>
      <c r="W72">
        <f t="shared" si="3"/>
        <v>9.6735252252513213</v>
      </c>
      <c r="X72" s="4">
        <f t="shared" si="4"/>
        <v>0.4835252252513218</v>
      </c>
      <c r="Y72" s="4">
        <f t="shared" si="5"/>
        <v>1.5597638226294981</v>
      </c>
      <c r="Z72" s="4">
        <v>0.30999900000000002</v>
      </c>
    </row>
    <row r="73" spans="1:26" x14ac:dyDescent="0.2">
      <c r="A73" t="s">
        <v>101</v>
      </c>
      <c r="B73">
        <v>148.59744262695301</v>
      </c>
      <c r="C73">
        <v>0</v>
      </c>
      <c r="D73">
        <v>165.62097167968801</v>
      </c>
      <c r="E73">
        <v>38.145545959472699</v>
      </c>
      <c r="F73">
        <v>6.4033470153808603</v>
      </c>
      <c r="G73">
        <v>61.830528259277301</v>
      </c>
      <c r="H73">
        <v>110.823760986328</v>
      </c>
      <c r="I73">
        <v>45.245121002197301</v>
      </c>
      <c r="J73">
        <v>6.29998826980591</v>
      </c>
      <c r="K73">
        <v>20.050270080566399</v>
      </c>
      <c r="L73">
        <v>112.362350463867</v>
      </c>
      <c r="M73">
        <v>0</v>
      </c>
      <c r="N73">
        <v>27.303277969360401</v>
      </c>
      <c r="O73">
        <v>50</v>
      </c>
      <c r="P73">
        <v>50.122688293457003</v>
      </c>
      <c r="Q73">
        <v>6.3993806838989302</v>
      </c>
      <c r="R73">
        <v>8.8833408355712908</v>
      </c>
      <c r="S73">
        <v>6.4999880790710503</v>
      </c>
      <c r="T73" s="4">
        <v>0.67292475700378396</v>
      </c>
      <c r="U73">
        <v>10.64</v>
      </c>
      <c r="V73">
        <v>9.73</v>
      </c>
      <c r="W73">
        <f t="shared" si="3"/>
        <v>9.7599459028887718</v>
      </c>
      <c r="X73" s="4">
        <f t="shared" si="4"/>
        <v>2.9945902888771414E-2</v>
      </c>
      <c r="Y73" s="4">
        <f t="shared" si="5"/>
        <v>9.65999983508702E-2</v>
      </c>
      <c r="Z73" s="4">
        <v>0.30999900000000002</v>
      </c>
    </row>
    <row r="74" spans="1:26" x14ac:dyDescent="0.2">
      <c r="A74" t="s">
        <v>102</v>
      </c>
      <c r="B74">
        <v>148.08871459960901</v>
      </c>
      <c r="C74">
        <v>0</v>
      </c>
      <c r="D74">
        <v>141.40362548828099</v>
      </c>
      <c r="E74">
        <v>38.744228363037102</v>
      </c>
      <c r="F74">
        <v>6.3091921806335503</v>
      </c>
      <c r="G74">
        <v>64.612411499023395</v>
      </c>
      <c r="H74">
        <v>111.947372436523</v>
      </c>
      <c r="I74">
        <v>42.005378723144503</v>
      </c>
      <c r="J74">
        <v>6.2999863624572798</v>
      </c>
      <c r="K74">
        <v>18.095911026001001</v>
      </c>
      <c r="L74">
        <v>112.02995300293</v>
      </c>
      <c r="M74">
        <v>0</v>
      </c>
      <c r="N74">
        <v>25.310949325561499</v>
      </c>
      <c r="O74">
        <v>50</v>
      </c>
      <c r="P74">
        <v>49.504478454589801</v>
      </c>
      <c r="Q74">
        <v>6.3060779571533203</v>
      </c>
      <c r="R74">
        <v>10.027707099914601</v>
      </c>
      <c r="S74">
        <v>6.4999866485595703</v>
      </c>
      <c r="T74" s="4">
        <v>0.655323386192322</v>
      </c>
      <c r="U74">
        <v>10.119999999999999</v>
      </c>
      <c r="V74">
        <v>9.26</v>
      </c>
      <c r="W74">
        <f t="shared" si="3"/>
        <v>9.5046596689546128</v>
      </c>
      <c r="X74" s="4">
        <f t="shared" si="4"/>
        <v>0.244659668954613</v>
      </c>
      <c r="Y74" s="4">
        <f t="shared" si="5"/>
        <v>0.78922728445773371</v>
      </c>
      <c r="Z74" s="4">
        <v>0.30999900000000002</v>
      </c>
    </row>
    <row r="75" spans="1:26" x14ac:dyDescent="0.2">
      <c r="A75" t="s">
        <v>103</v>
      </c>
      <c r="B75">
        <v>148.98149108886699</v>
      </c>
      <c r="C75">
        <v>0</v>
      </c>
      <c r="D75">
        <v>150.80854797363301</v>
      </c>
      <c r="E75">
        <v>37.989578247070298</v>
      </c>
      <c r="F75">
        <v>6.3370718955993697</v>
      </c>
      <c r="G75">
        <v>63.661178588867202</v>
      </c>
      <c r="H75">
        <v>112.053825378418</v>
      </c>
      <c r="I75">
        <v>43.513168334960902</v>
      </c>
      <c r="J75">
        <v>6.2999863624572798</v>
      </c>
      <c r="K75">
        <v>18.974157333373999</v>
      </c>
      <c r="L75">
        <v>112.000274658203</v>
      </c>
      <c r="M75">
        <v>0</v>
      </c>
      <c r="N75">
        <v>26.286434173583999</v>
      </c>
      <c r="O75">
        <v>50</v>
      </c>
      <c r="P75">
        <v>50.355297088623097</v>
      </c>
      <c r="Q75">
        <v>6.3383970260620099</v>
      </c>
      <c r="R75">
        <v>9.0371427536010707</v>
      </c>
      <c r="S75">
        <v>6.4999866485595703</v>
      </c>
      <c r="T75" s="4">
        <v>0.64449852705001798</v>
      </c>
      <c r="U75">
        <v>10.15</v>
      </c>
      <c r="V75">
        <v>9.2799999999999994</v>
      </c>
      <c r="W75">
        <f t="shared" si="3"/>
        <v>9.3476584016722395</v>
      </c>
      <c r="X75" s="4">
        <f t="shared" si="4"/>
        <v>6.7658401672240132E-2</v>
      </c>
      <c r="Y75" s="4">
        <f t="shared" si="5"/>
        <v>0.21825361266404125</v>
      </c>
      <c r="Z75" s="4">
        <v>0.30999900000000002</v>
      </c>
    </row>
    <row r="76" spans="1:26" x14ac:dyDescent="0.2">
      <c r="A76" t="s">
        <v>104</v>
      </c>
      <c r="B76">
        <v>150.18013000488301</v>
      </c>
      <c r="C76">
        <v>0</v>
      </c>
      <c r="D76">
        <v>153.71939086914099</v>
      </c>
      <c r="E76">
        <v>39.303173065185597</v>
      </c>
      <c r="F76">
        <v>6.2458753585815403</v>
      </c>
      <c r="G76">
        <v>67.490165710449205</v>
      </c>
      <c r="H76">
        <v>115.127479553223</v>
      </c>
      <c r="I76">
        <v>41.883609771728501</v>
      </c>
      <c r="J76">
        <v>6.2999863624572798</v>
      </c>
      <c r="K76">
        <v>20.102561950683601</v>
      </c>
      <c r="L76">
        <v>113.81146240234401</v>
      </c>
      <c r="M76">
        <v>0</v>
      </c>
      <c r="N76">
        <v>26.078857421875</v>
      </c>
      <c r="O76">
        <v>50</v>
      </c>
      <c r="P76">
        <v>49.384563446044901</v>
      </c>
      <c r="Q76">
        <v>6.2456703186035201</v>
      </c>
      <c r="R76">
        <v>10.1598720550537</v>
      </c>
      <c r="S76">
        <v>6.4999866485595703</v>
      </c>
      <c r="T76" s="4">
        <v>0.67420786619186401</v>
      </c>
      <c r="U76">
        <v>11.07</v>
      </c>
      <c r="V76">
        <v>10.18</v>
      </c>
      <c r="W76">
        <f t="shared" si="3"/>
        <v>9.7785558234375713</v>
      </c>
      <c r="X76" s="4">
        <f t="shared" si="4"/>
        <v>-0.40144417656242837</v>
      </c>
      <c r="Y76" s="4">
        <f t="shared" si="5"/>
        <v>-1.2949853920897434</v>
      </c>
      <c r="Z76" s="4">
        <v>0.30999900000000002</v>
      </c>
    </row>
    <row r="77" spans="1:26" x14ac:dyDescent="0.2">
      <c r="A77" t="s">
        <v>105</v>
      </c>
      <c r="B77">
        <v>150.58668518066401</v>
      </c>
      <c r="C77">
        <v>0</v>
      </c>
      <c r="D77">
        <v>161.79637145996099</v>
      </c>
      <c r="E77">
        <v>38.994869232177699</v>
      </c>
      <c r="F77">
        <v>6.3149228096008301</v>
      </c>
      <c r="G77">
        <v>65.255859375</v>
      </c>
      <c r="H77">
        <v>113.35105133056599</v>
      </c>
      <c r="I77">
        <v>43.355747222900398</v>
      </c>
      <c r="J77">
        <v>6.29998826980591</v>
      </c>
      <c r="K77">
        <v>20.238683700561499</v>
      </c>
      <c r="L77">
        <v>113.391326904297</v>
      </c>
      <c r="M77">
        <v>0</v>
      </c>
      <c r="N77">
        <v>26.296033859252901</v>
      </c>
      <c r="O77">
        <v>50</v>
      </c>
      <c r="P77">
        <v>49.859947204589801</v>
      </c>
      <c r="Q77">
        <v>6.30029249191284</v>
      </c>
      <c r="R77">
        <v>9.7389249801635707</v>
      </c>
      <c r="S77">
        <v>6.4999866485595703</v>
      </c>
      <c r="T77" s="4">
        <v>0.65977919101715099</v>
      </c>
      <c r="U77">
        <v>10.42</v>
      </c>
      <c r="V77">
        <v>9.5399999999999991</v>
      </c>
      <c r="W77">
        <f t="shared" si="3"/>
        <v>9.5692856372988242</v>
      </c>
      <c r="X77" s="4">
        <f t="shared" si="4"/>
        <v>2.9285637298825051E-2</v>
      </c>
      <c r="Y77" s="4">
        <f t="shared" si="5"/>
        <v>9.4470102480411391E-2</v>
      </c>
      <c r="Z77" s="4">
        <v>0.30999900000000002</v>
      </c>
    </row>
    <row r="78" spans="1:26" x14ac:dyDescent="0.2">
      <c r="A78" t="s">
        <v>106</v>
      </c>
      <c r="B78">
        <v>149.12225341796901</v>
      </c>
      <c r="C78">
        <v>0</v>
      </c>
      <c r="D78">
        <v>151.13171386718801</v>
      </c>
      <c r="E78">
        <v>38.162261962890597</v>
      </c>
      <c r="F78">
        <v>6.2743153572082502</v>
      </c>
      <c r="G78">
        <v>65.189903259277301</v>
      </c>
      <c r="H78">
        <v>112.998664855957</v>
      </c>
      <c r="I78">
        <v>39.755245208740199</v>
      </c>
      <c r="J78">
        <v>6.29998826980591</v>
      </c>
      <c r="K78">
        <v>19.885086059570298</v>
      </c>
      <c r="L78">
        <v>113.347381591797</v>
      </c>
      <c r="M78">
        <v>0</v>
      </c>
      <c r="N78">
        <v>24.191736221313501</v>
      </c>
      <c r="O78">
        <v>50</v>
      </c>
      <c r="P78">
        <v>49.3671875</v>
      </c>
      <c r="Q78">
        <v>6.2750506401062003</v>
      </c>
      <c r="R78">
        <v>9.1636753082275408</v>
      </c>
      <c r="S78">
        <v>6.4999890327453604</v>
      </c>
      <c r="T78" s="4">
        <v>0.67163813114166304</v>
      </c>
      <c r="U78">
        <v>10.64</v>
      </c>
      <c r="V78">
        <v>9.73</v>
      </c>
      <c r="W78">
        <f t="shared" si="3"/>
        <v>9.7412849773085171</v>
      </c>
      <c r="X78" s="4">
        <f t="shared" si="4"/>
        <v>1.1284977308516631E-2</v>
      </c>
      <c r="Y78" s="4">
        <f t="shared" si="5"/>
        <v>3.6403270038021511E-2</v>
      </c>
      <c r="Z78" s="4">
        <v>0.30999900000000002</v>
      </c>
    </row>
    <row r="79" spans="1:26" x14ac:dyDescent="0.2">
      <c r="A79" t="s">
        <v>107</v>
      </c>
      <c r="B79">
        <v>148.32102966308599</v>
      </c>
      <c r="C79">
        <v>0</v>
      </c>
      <c r="D79">
        <v>161.64701843261699</v>
      </c>
      <c r="E79">
        <v>37.473674774169901</v>
      </c>
      <c r="F79">
        <v>6.3550529479980504</v>
      </c>
      <c r="G79">
        <v>62.198280334472699</v>
      </c>
      <c r="H79">
        <v>111.009071350098</v>
      </c>
      <c r="I79">
        <v>41.702110290527301</v>
      </c>
      <c r="J79">
        <v>6.29998826980591</v>
      </c>
      <c r="K79">
        <v>19.075233459472699</v>
      </c>
      <c r="L79">
        <v>112.02285766601599</v>
      </c>
      <c r="M79">
        <v>0</v>
      </c>
      <c r="N79">
        <v>25.6253967285156</v>
      </c>
      <c r="O79">
        <v>50</v>
      </c>
      <c r="P79">
        <v>50.122093200683601</v>
      </c>
      <c r="Q79">
        <v>6.3629593849182102</v>
      </c>
      <c r="R79">
        <v>7.6260004043579102</v>
      </c>
      <c r="S79">
        <v>6.4999885559081996</v>
      </c>
      <c r="T79" s="4">
        <v>0.65820181369781505</v>
      </c>
      <c r="U79">
        <v>10.119999999999999</v>
      </c>
      <c r="V79">
        <v>9.26</v>
      </c>
      <c r="W79">
        <f t="shared" si="3"/>
        <v>9.5464077194559582</v>
      </c>
      <c r="X79" s="4">
        <f t="shared" si="4"/>
        <v>0.28640771945595844</v>
      </c>
      <c r="Y79" s="4">
        <f t="shared" si="5"/>
        <v>0.92389884953163859</v>
      </c>
      <c r="Z79" s="4">
        <v>0.30999900000000002</v>
      </c>
    </row>
    <row r="80" spans="1:26" x14ac:dyDescent="0.2">
      <c r="A80" t="s">
        <v>108</v>
      </c>
      <c r="B80">
        <v>148.02998352050801</v>
      </c>
      <c r="C80">
        <v>0</v>
      </c>
      <c r="D80">
        <v>160.35461425781301</v>
      </c>
      <c r="E80">
        <v>38.005664825439503</v>
      </c>
      <c r="F80">
        <v>6.2729654312133798</v>
      </c>
      <c r="G80">
        <v>65.049865722656307</v>
      </c>
      <c r="H80">
        <v>111.707145690918</v>
      </c>
      <c r="I80">
        <v>40.0755004882813</v>
      </c>
      <c r="J80">
        <v>6.29998826980591</v>
      </c>
      <c r="K80">
        <v>20.103456497192401</v>
      </c>
      <c r="L80">
        <v>112.000190734863</v>
      </c>
      <c r="M80">
        <v>0</v>
      </c>
      <c r="N80">
        <v>25.8656311035156</v>
      </c>
      <c r="O80">
        <v>50</v>
      </c>
      <c r="P80">
        <v>49.574554443359403</v>
      </c>
      <c r="Q80">
        <v>6.2702374458312997</v>
      </c>
      <c r="R80">
        <v>7.5166697502136204</v>
      </c>
      <c r="S80">
        <v>6.4999885559081996</v>
      </c>
      <c r="T80" s="4">
        <v>0.65917670726776101</v>
      </c>
      <c r="U80">
        <v>10.43</v>
      </c>
      <c r="V80">
        <v>9.5500000000000007</v>
      </c>
      <c r="W80">
        <f t="shared" si="3"/>
        <v>9.5605473515689336</v>
      </c>
      <c r="X80" s="4">
        <f t="shared" si="4"/>
        <v>1.0547351568932939E-2</v>
      </c>
      <c r="Y80" s="4">
        <f t="shared" si="5"/>
        <v>3.4023824492765906E-2</v>
      </c>
      <c r="Z80" s="4">
        <v>0.30999900000000002</v>
      </c>
    </row>
    <row r="81" spans="1:26" x14ac:dyDescent="0.2">
      <c r="A81" t="s">
        <v>109</v>
      </c>
      <c r="B81">
        <v>148.32524108886699</v>
      </c>
      <c r="C81">
        <v>0</v>
      </c>
      <c r="D81">
        <v>139.85353088378901</v>
      </c>
      <c r="E81">
        <v>38.042922973632798</v>
      </c>
      <c r="F81">
        <v>6.3419766426086399</v>
      </c>
      <c r="G81">
        <v>63.1809692382813</v>
      </c>
      <c r="H81">
        <v>111.270515441895</v>
      </c>
      <c r="I81">
        <v>41.714256286621101</v>
      </c>
      <c r="J81">
        <v>6.2999863624572798</v>
      </c>
      <c r="K81">
        <v>18.2058811187744</v>
      </c>
      <c r="L81">
        <v>112.025802612305</v>
      </c>
      <c r="M81">
        <v>0</v>
      </c>
      <c r="N81">
        <v>26.11159324646</v>
      </c>
      <c r="O81">
        <v>50</v>
      </c>
      <c r="P81">
        <v>50.234672546386697</v>
      </c>
      <c r="Q81">
        <v>6.3312315940856898</v>
      </c>
      <c r="R81">
        <v>8.1172227859497106</v>
      </c>
      <c r="S81">
        <v>6.4999876022338903</v>
      </c>
      <c r="T81" s="4">
        <v>0.66362226009368896</v>
      </c>
      <c r="U81">
        <v>10.47</v>
      </c>
      <c r="V81">
        <v>9.58</v>
      </c>
      <c r="W81">
        <f t="shared" si="3"/>
        <v>9.6250246272790427</v>
      </c>
      <c r="X81" s="4">
        <f t="shared" si="4"/>
        <v>4.5024627279042662E-2</v>
      </c>
      <c r="Y81" s="4">
        <f t="shared" si="5"/>
        <v>0.14524120167820753</v>
      </c>
      <c r="Z81" s="4">
        <v>0.30999900000000002</v>
      </c>
    </row>
    <row r="82" spans="1:26" x14ac:dyDescent="0.2">
      <c r="A82" t="s">
        <v>110</v>
      </c>
      <c r="B82">
        <v>148.42453002929699</v>
      </c>
      <c r="C82">
        <v>0</v>
      </c>
      <c r="D82">
        <v>135.76698303222699</v>
      </c>
      <c r="E82">
        <v>39.368354797363303</v>
      </c>
      <c r="F82">
        <v>6.2983140945434597</v>
      </c>
      <c r="G82">
        <v>63.753334045410199</v>
      </c>
      <c r="H82">
        <v>111.29001617431599</v>
      </c>
      <c r="I82">
        <v>40.1800346374512</v>
      </c>
      <c r="J82">
        <v>6.29998826980591</v>
      </c>
      <c r="K82">
        <v>18.167049407958999</v>
      </c>
      <c r="L82">
        <v>112.000564575195</v>
      </c>
      <c r="M82">
        <v>0</v>
      </c>
      <c r="N82">
        <v>26.383995056152301</v>
      </c>
      <c r="O82">
        <v>50</v>
      </c>
      <c r="P82">
        <v>50.103115081787102</v>
      </c>
      <c r="Q82">
        <v>6.2983140945434597</v>
      </c>
      <c r="R82">
        <v>7.4881267547607404</v>
      </c>
      <c r="S82">
        <v>6.4999885559081996</v>
      </c>
      <c r="T82" s="4">
        <v>0.64836740493774403</v>
      </c>
      <c r="U82">
        <v>10.15</v>
      </c>
      <c r="V82">
        <v>9.2799999999999994</v>
      </c>
      <c r="W82">
        <f t="shared" si="3"/>
        <v>9.4037717167139032</v>
      </c>
      <c r="X82" s="4">
        <f t="shared" si="4"/>
        <v>0.12377171671390386</v>
      </c>
      <c r="Y82" s="4">
        <f t="shared" si="5"/>
        <v>0.3992648902541745</v>
      </c>
      <c r="Z82" s="4">
        <v>0.30999900000000002</v>
      </c>
    </row>
    <row r="83" spans="1:26" x14ac:dyDescent="0.2">
      <c r="A83" t="s">
        <v>111</v>
      </c>
      <c r="B83">
        <v>149.15194702148401</v>
      </c>
      <c r="C83">
        <v>0</v>
      </c>
      <c r="D83">
        <v>128.85523986816401</v>
      </c>
      <c r="E83">
        <v>39.481658935546903</v>
      </c>
      <c r="F83">
        <v>6.2790465354919398</v>
      </c>
      <c r="G83">
        <v>66.297218322753906</v>
      </c>
      <c r="H83">
        <v>113.363655090332</v>
      </c>
      <c r="I83">
        <v>40.624973297119098</v>
      </c>
      <c r="J83">
        <v>6.29998779296875</v>
      </c>
      <c r="K83">
        <v>16.534368515014702</v>
      </c>
      <c r="L83">
        <v>112.725715637207</v>
      </c>
      <c r="M83">
        <v>0</v>
      </c>
      <c r="N83">
        <v>24.544334411621101</v>
      </c>
      <c r="O83">
        <v>50</v>
      </c>
      <c r="P83">
        <v>49.365058898925803</v>
      </c>
      <c r="Q83">
        <v>6.2790465354919398</v>
      </c>
      <c r="R83">
        <v>8.2712440490722692</v>
      </c>
      <c r="S83">
        <v>6.4999866485595703</v>
      </c>
      <c r="T83" s="4">
        <v>0.66707444190979004</v>
      </c>
      <c r="U83">
        <v>10.94</v>
      </c>
      <c r="V83">
        <v>10.01</v>
      </c>
      <c r="W83">
        <f t="shared" si="3"/>
        <v>9.675094278337955</v>
      </c>
      <c r="X83" s="4">
        <f t="shared" si="4"/>
        <v>-0.3349057216620448</v>
      </c>
      <c r="Y83" s="4">
        <f t="shared" si="5"/>
        <v>-1.0803445226018302</v>
      </c>
      <c r="Z83" s="4">
        <v>0.30999900000000002</v>
      </c>
    </row>
    <row r="84" spans="1:26" x14ac:dyDescent="0.2">
      <c r="A84" t="s">
        <v>112</v>
      </c>
      <c r="B84">
        <v>149.21383666992199</v>
      </c>
      <c r="C84">
        <v>0</v>
      </c>
      <c r="D84">
        <v>135.33416748046901</v>
      </c>
      <c r="E84">
        <v>39.597599029541001</v>
      </c>
      <c r="F84">
        <v>6.3049592971801802</v>
      </c>
      <c r="G84">
        <v>63.538082122802699</v>
      </c>
      <c r="H84">
        <v>111.82341766357401</v>
      </c>
      <c r="I84">
        <v>40.771999359130902</v>
      </c>
      <c r="J84">
        <v>6.2999901771545401</v>
      </c>
      <c r="K84">
        <v>17.4181518554688</v>
      </c>
      <c r="L84">
        <v>112.399444580078</v>
      </c>
      <c r="M84">
        <v>0</v>
      </c>
      <c r="N84">
        <v>27.39035987854</v>
      </c>
      <c r="O84">
        <v>50</v>
      </c>
      <c r="P84">
        <v>50.292110443115199</v>
      </c>
      <c r="Q84">
        <v>6.3049592971801802</v>
      </c>
      <c r="R84">
        <v>10.527580261230501</v>
      </c>
      <c r="S84">
        <v>6.4999904632568404</v>
      </c>
      <c r="T84" s="4">
        <v>0.66151881217956499</v>
      </c>
      <c r="U84">
        <v>10.41</v>
      </c>
      <c r="V84">
        <v>9.5500000000000007</v>
      </c>
      <c r="W84">
        <f t="shared" si="3"/>
        <v>9.5945167025256097</v>
      </c>
      <c r="X84" s="4">
        <f t="shared" si="4"/>
        <v>4.451670252560902E-2</v>
      </c>
      <c r="Y84" s="4">
        <f t="shared" si="5"/>
        <v>0.1436027294462531</v>
      </c>
      <c r="Z84" s="4">
        <v>0.30999900000000002</v>
      </c>
    </row>
    <row r="85" spans="1:26" x14ac:dyDescent="0.2">
      <c r="A85" t="s">
        <v>113</v>
      </c>
      <c r="B85">
        <v>148.12544250488301</v>
      </c>
      <c r="C85">
        <v>0</v>
      </c>
      <c r="D85">
        <v>154.28269958496099</v>
      </c>
      <c r="E85">
        <v>40.668102264404297</v>
      </c>
      <c r="F85">
        <v>6.35685014724731</v>
      </c>
      <c r="G85">
        <v>61.212112426757798</v>
      </c>
      <c r="H85">
        <v>109.46929931640599</v>
      </c>
      <c r="I85">
        <v>41.394485473632798</v>
      </c>
      <c r="J85">
        <v>6.2999863624572798</v>
      </c>
      <c r="K85">
        <v>19.2979831695557</v>
      </c>
      <c r="L85">
        <v>112.008178710938</v>
      </c>
      <c r="M85">
        <v>0</v>
      </c>
      <c r="N85">
        <v>26.407089233398398</v>
      </c>
      <c r="O85">
        <v>50</v>
      </c>
      <c r="P85">
        <v>49.836421966552699</v>
      </c>
      <c r="Q85">
        <v>6.35685014724731</v>
      </c>
      <c r="R85">
        <v>11.1936502456665</v>
      </c>
      <c r="S85">
        <v>6.4999866485595703</v>
      </c>
      <c r="T85" s="4">
        <v>0.59980249404907204</v>
      </c>
      <c r="U85">
        <v>9.1199999999999992</v>
      </c>
      <c r="V85">
        <v>8.35</v>
      </c>
      <c r="W85">
        <f t="shared" si="3"/>
        <v>8.6993974191141099</v>
      </c>
      <c r="X85" s="4">
        <f t="shared" si="4"/>
        <v>0.34939741911411026</v>
      </c>
      <c r="Y85" s="4">
        <f t="shared" si="5"/>
        <v>1.1270920845361121</v>
      </c>
      <c r="Z85" s="4">
        <v>0.30999900000000002</v>
      </c>
    </row>
    <row r="86" spans="1:26" x14ac:dyDescent="0.2">
      <c r="A86" t="s">
        <v>114</v>
      </c>
      <c r="B86">
        <v>148.20820617675801</v>
      </c>
      <c r="C86">
        <v>0</v>
      </c>
      <c r="D86">
        <v>130.67491149902301</v>
      </c>
      <c r="E86">
        <v>41.256389617919901</v>
      </c>
      <c r="F86">
        <v>6.3032102584838903</v>
      </c>
      <c r="G86">
        <v>64.897026062011705</v>
      </c>
      <c r="H86">
        <v>111.830848693848</v>
      </c>
      <c r="I86">
        <v>39.473140716552699</v>
      </c>
      <c r="J86">
        <v>6.2999863624572798</v>
      </c>
      <c r="K86">
        <v>16.462223052978501</v>
      </c>
      <c r="L86">
        <v>112.000625610352</v>
      </c>
      <c r="M86">
        <v>0</v>
      </c>
      <c r="N86">
        <v>25.650449752807599</v>
      </c>
      <c r="O86">
        <v>50</v>
      </c>
      <c r="P86">
        <v>49.486549377441399</v>
      </c>
      <c r="Q86">
        <v>6.3032102584838903</v>
      </c>
      <c r="R86">
        <v>9.1903858184814506</v>
      </c>
      <c r="S86">
        <v>6.4999866485595703</v>
      </c>
      <c r="T86" s="4">
        <v>0.62776350975036599</v>
      </c>
      <c r="U86">
        <v>10.130000000000001</v>
      </c>
      <c r="V86">
        <v>9.27</v>
      </c>
      <c r="W86">
        <f t="shared" si="3"/>
        <v>9.1049375598120648</v>
      </c>
      <c r="X86" s="4">
        <f t="shared" si="4"/>
        <v>-0.16506244018793481</v>
      </c>
      <c r="Y86" s="4">
        <f t="shared" si="5"/>
        <v>-0.53246120209398995</v>
      </c>
      <c r="Z86" s="4">
        <v>0.30999900000000002</v>
      </c>
    </row>
    <row r="87" spans="1:26" x14ac:dyDescent="0.2">
      <c r="A87" t="s">
        <v>115</v>
      </c>
      <c r="B87">
        <v>148.92835998535199</v>
      </c>
      <c r="C87">
        <v>0</v>
      </c>
      <c r="D87">
        <v>153.72071838378901</v>
      </c>
      <c r="E87">
        <v>39.047286987304702</v>
      </c>
      <c r="F87">
        <v>6.2944788932800302</v>
      </c>
      <c r="G87">
        <v>65.761741638183594</v>
      </c>
      <c r="H87">
        <v>112.71247100830099</v>
      </c>
      <c r="I87">
        <v>41.276992797851598</v>
      </c>
      <c r="J87">
        <v>6.2999863624572798</v>
      </c>
      <c r="K87">
        <v>18.2870483398438</v>
      </c>
      <c r="L87">
        <v>112.000038146973</v>
      </c>
      <c r="M87">
        <v>0</v>
      </c>
      <c r="N87">
        <v>27.770336151123001</v>
      </c>
      <c r="O87">
        <v>50</v>
      </c>
      <c r="P87">
        <v>50.172306060791001</v>
      </c>
      <c r="Q87">
        <v>6.2944788932800302</v>
      </c>
      <c r="R87">
        <v>9.0644989013671893</v>
      </c>
      <c r="S87">
        <v>6.4999866485595703</v>
      </c>
      <c r="T87" s="4">
        <v>0.65647894144058205</v>
      </c>
      <c r="U87">
        <v>9.93</v>
      </c>
      <c r="V87">
        <v>9.09</v>
      </c>
      <c r="W87">
        <f t="shared" si="3"/>
        <v>9.5214195764976708</v>
      </c>
      <c r="X87" s="4">
        <f t="shared" si="4"/>
        <v>0.43141957649767093</v>
      </c>
      <c r="Y87" s="4">
        <f t="shared" si="5"/>
        <v>1.3916805425103658</v>
      </c>
      <c r="Z87" s="4">
        <v>0.30999900000000002</v>
      </c>
    </row>
    <row r="88" spans="1:26" x14ac:dyDescent="0.2">
      <c r="A88" t="s">
        <v>116</v>
      </c>
      <c r="B88">
        <v>148.95397949218801</v>
      </c>
      <c r="C88">
        <v>0</v>
      </c>
      <c r="D88">
        <v>135.03785705566401</v>
      </c>
      <c r="E88">
        <v>41.058517456054702</v>
      </c>
      <c r="F88">
        <v>6.1873736381530797</v>
      </c>
      <c r="G88">
        <v>74.082351684570298</v>
      </c>
      <c r="H88">
        <v>112.627471923828</v>
      </c>
      <c r="I88">
        <v>0</v>
      </c>
      <c r="J88">
        <v>6.19034719467163</v>
      </c>
      <c r="K88">
        <v>17.281251907348601</v>
      </c>
      <c r="L88">
        <v>112.594444274902</v>
      </c>
      <c r="M88">
        <v>63.728462219238303</v>
      </c>
      <c r="N88">
        <v>21.912347793579102</v>
      </c>
      <c r="O88">
        <v>50</v>
      </c>
      <c r="P88">
        <v>49.302719116210902</v>
      </c>
      <c r="Q88">
        <v>6.1873736381530797</v>
      </c>
      <c r="R88">
        <v>7.4211473464965803</v>
      </c>
      <c r="S88">
        <v>6.1999998092651403</v>
      </c>
      <c r="T88" s="4">
        <v>0.61287558078765902</v>
      </c>
      <c r="U88">
        <v>9.93</v>
      </c>
      <c r="V88">
        <v>9.09</v>
      </c>
      <c r="W88">
        <f t="shared" si="3"/>
        <v>8.8890064623606246</v>
      </c>
      <c r="X88" s="4">
        <f t="shared" si="4"/>
        <v>-0.20099353763937522</v>
      </c>
      <c r="Y88" s="4">
        <f t="shared" si="5"/>
        <v>-0.64836834196037796</v>
      </c>
      <c r="Z88" s="4">
        <v>0.30999900000000002</v>
      </c>
    </row>
    <row r="89" spans="1:26" x14ac:dyDescent="0.2">
      <c r="A89" t="s">
        <v>117</v>
      </c>
      <c r="B89">
        <v>150.37908935546901</v>
      </c>
      <c r="C89">
        <v>0</v>
      </c>
      <c r="D89">
        <v>125.700065612793</v>
      </c>
      <c r="E89">
        <v>38.910362243652301</v>
      </c>
      <c r="F89">
        <v>6.1840696334838903</v>
      </c>
      <c r="G89">
        <v>64.697380065917997</v>
      </c>
      <c r="H89">
        <v>110.97184753418</v>
      </c>
      <c r="I89">
        <v>0</v>
      </c>
      <c r="J89">
        <v>6.1840696334838903</v>
      </c>
      <c r="K89">
        <v>15.606273651123001</v>
      </c>
      <c r="L89">
        <v>112.594444274902</v>
      </c>
      <c r="M89">
        <v>61.641853332519503</v>
      </c>
      <c r="N89">
        <v>22.797391891479499</v>
      </c>
      <c r="O89">
        <v>50</v>
      </c>
      <c r="P89">
        <v>50.4229545593262</v>
      </c>
      <c r="Q89">
        <v>6.1840696334838903</v>
      </c>
      <c r="R89">
        <v>6.1914410591125497</v>
      </c>
      <c r="S89">
        <v>6.1999998092651403</v>
      </c>
      <c r="T89" s="4">
        <v>0.62252002954482999</v>
      </c>
      <c r="U89">
        <v>9.86</v>
      </c>
      <c r="V89">
        <v>9.02</v>
      </c>
      <c r="W89">
        <f t="shared" si="3"/>
        <v>9.0288873289114182</v>
      </c>
      <c r="X89" s="4">
        <f t="shared" si="4"/>
        <v>8.8873289114186349E-3</v>
      </c>
      <c r="Y89" s="4">
        <f t="shared" si="5"/>
        <v>2.8668895420367917E-2</v>
      </c>
      <c r="Z89" s="4">
        <v>0.30999900000000002</v>
      </c>
    </row>
    <row r="90" spans="1:26" x14ac:dyDescent="0.2">
      <c r="A90" t="s">
        <v>118</v>
      </c>
      <c r="B90">
        <v>151.10836791992199</v>
      </c>
      <c r="C90">
        <v>0</v>
      </c>
      <c r="D90">
        <v>111.864547729492</v>
      </c>
      <c r="E90">
        <v>39.506851196289098</v>
      </c>
      <c r="F90">
        <v>6.1821956634521502</v>
      </c>
      <c r="G90">
        <v>66.240219116210895</v>
      </c>
      <c r="H90">
        <v>112.377922058105</v>
      </c>
      <c r="I90">
        <v>0</v>
      </c>
      <c r="J90">
        <v>6.1848173141479501</v>
      </c>
      <c r="K90">
        <v>14.0368747711182</v>
      </c>
      <c r="L90">
        <v>112.594444274902</v>
      </c>
      <c r="M90">
        <v>60.165828704833999</v>
      </c>
      <c r="N90">
        <v>20.773277282714801</v>
      </c>
      <c r="O90">
        <v>50</v>
      </c>
      <c r="P90">
        <v>49.4573974609375</v>
      </c>
      <c r="Q90">
        <v>6.1821956634521502</v>
      </c>
      <c r="R90">
        <v>4.8027105331420898</v>
      </c>
      <c r="S90">
        <v>6.1999998092651403</v>
      </c>
      <c r="T90" s="4">
        <v>0.61734753847122203</v>
      </c>
      <c r="U90">
        <v>10.39</v>
      </c>
      <c r="V90">
        <v>9.27</v>
      </c>
      <c r="W90">
        <f t="shared" si="3"/>
        <v>8.9538667080527556</v>
      </c>
      <c r="X90" s="4">
        <f t="shared" si="4"/>
        <v>-0.31613329194724393</v>
      </c>
      <c r="Y90" s="4">
        <f t="shared" si="5"/>
        <v>-1.0197881023720847</v>
      </c>
      <c r="Z90" s="4">
        <v>0.30999900000000002</v>
      </c>
    </row>
    <row r="91" spans="1:26" x14ac:dyDescent="0.2">
      <c r="A91" t="s">
        <v>119</v>
      </c>
      <c r="B91">
        <v>149.62661743164099</v>
      </c>
      <c r="C91">
        <v>0</v>
      </c>
      <c r="D91">
        <v>146.74667358398401</v>
      </c>
      <c r="E91">
        <v>40.1681518554688</v>
      </c>
      <c r="F91">
        <v>6.4715642929077202</v>
      </c>
      <c r="G91">
        <v>63.0728950500488</v>
      </c>
      <c r="H91">
        <v>111.89817810058599</v>
      </c>
      <c r="I91">
        <v>42.820663452148402</v>
      </c>
      <c r="J91">
        <v>6.4000000953674299</v>
      </c>
      <c r="K91">
        <v>18.431505203247099</v>
      </c>
      <c r="L91">
        <v>112.594444274902</v>
      </c>
      <c r="M91">
        <v>0</v>
      </c>
      <c r="N91">
        <v>23.595476150512699</v>
      </c>
      <c r="O91">
        <v>50</v>
      </c>
      <c r="P91">
        <v>49.202316284179702</v>
      </c>
      <c r="Q91">
        <v>6.4715642929077202</v>
      </c>
      <c r="R91">
        <v>8.40543937683106</v>
      </c>
      <c r="S91">
        <v>6.5999999046325701</v>
      </c>
      <c r="T91" s="4">
        <v>0.650831639766693</v>
      </c>
      <c r="U91">
        <v>9.7100000000000009</v>
      </c>
      <c r="V91">
        <v>8.89</v>
      </c>
      <c r="W91">
        <f t="shared" si="3"/>
        <v>9.4395124118989688</v>
      </c>
      <c r="X91" s="4">
        <f t="shared" si="4"/>
        <v>0.54951241189896827</v>
      </c>
      <c r="Y91" s="4">
        <f t="shared" si="5"/>
        <v>1.7726264016947417</v>
      </c>
      <c r="Z91" s="4">
        <v>0.30999900000000002</v>
      </c>
    </row>
    <row r="92" spans="1:26" x14ac:dyDescent="0.2">
      <c r="A92" t="s">
        <v>120</v>
      </c>
      <c r="B92">
        <v>147.92614746093801</v>
      </c>
      <c r="C92">
        <v>0</v>
      </c>
      <c r="D92">
        <v>132.01914978027301</v>
      </c>
      <c r="E92">
        <v>38.983413696289098</v>
      </c>
      <c r="F92">
        <v>6.2703590393066397</v>
      </c>
      <c r="G92">
        <v>64.929573059082003</v>
      </c>
      <c r="H92">
        <v>111.56883239746099</v>
      </c>
      <c r="I92">
        <v>39.3890991210938</v>
      </c>
      <c r="J92">
        <v>6.2999839782714799</v>
      </c>
      <c r="K92">
        <v>18.490373611450199</v>
      </c>
      <c r="L92">
        <v>112.00018310546901</v>
      </c>
      <c r="M92">
        <v>0</v>
      </c>
      <c r="N92">
        <v>26.9146842956543</v>
      </c>
      <c r="O92">
        <v>50</v>
      </c>
      <c r="P92">
        <v>50.2303657531738</v>
      </c>
      <c r="Q92">
        <v>6.2703590393066397</v>
      </c>
      <c r="R92">
        <v>6.9365310668945304</v>
      </c>
      <c r="S92">
        <v>6.4999847412109402</v>
      </c>
      <c r="T92" s="4">
        <v>0.63294434547424305</v>
      </c>
      <c r="U92">
        <v>10.01</v>
      </c>
      <c r="V92">
        <v>9.16</v>
      </c>
      <c r="W92">
        <f t="shared" si="3"/>
        <v>9.1800792095589614</v>
      </c>
      <c r="X92" s="4">
        <f t="shared" si="4"/>
        <v>2.0079209558961253E-2</v>
      </c>
      <c r="Y92" s="4">
        <f t="shared" si="5"/>
        <v>6.4771852680044942E-2</v>
      </c>
      <c r="Z92" s="4">
        <v>0.30999900000000002</v>
      </c>
    </row>
    <row r="93" spans="1:26" x14ac:dyDescent="0.2">
      <c r="A93" t="s">
        <v>121</v>
      </c>
      <c r="B93">
        <v>149.57597351074199</v>
      </c>
      <c r="C93">
        <v>0</v>
      </c>
      <c r="D93">
        <v>115.13249969482401</v>
      </c>
      <c r="E93">
        <v>41.067253112792997</v>
      </c>
      <c r="F93">
        <v>6.1600790023803702</v>
      </c>
      <c r="G93">
        <v>66.697547912597699</v>
      </c>
      <c r="H93">
        <v>114.11807250976599</v>
      </c>
      <c r="I93">
        <v>37.936412811279297</v>
      </c>
      <c r="J93">
        <v>6.1999998092651403</v>
      </c>
      <c r="K93">
        <v>13.811617851257299</v>
      </c>
      <c r="L93">
        <v>113</v>
      </c>
      <c r="M93">
        <v>0</v>
      </c>
      <c r="N93">
        <v>21.6475620269775</v>
      </c>
      <c r="O93">
        <v>50</v>
      </c>
      <c r="P93">
        <v>49.214752197265597</v>
      </c>
      <c r="Q93">
        <v>6.1600790023803702</v>
      </c>
      <c r="R93">
        <v>6.1302833557128897</v>
      </c>
      <c r="S93">
        <v>6.3999996185302699</v>
      </c>
      <c r="T93" s="4">
        <v>0.608631551265717</v>
      </c>
      <c r="U93">
        <v>10.27</v>
      </c>
      <c r="V93">
        <v>9.33</v>
      </c>
      <c r="W93">
        <f t="shared" si="3"/>
        <v>8.8274520343011673</v>
      </c>
      <c r="X93" s="4">
        <f t="shared" si="4"/>
        <v>-0.50254796569883275</v>
      </c>
      <c r="Y93" s="4">
        <f t="shared" si="5"/>
        <v>-1.6211276994404262</v>
      </c>
      <c r="Z93" s="4">
        <v>0.30999900000000002</v>
      </c>
    </row>
    <row r="94" spans="1:26" x14ac:dyDescent="0.2">
      <c r="A94" t="s">
        <v>122</v>
      </c>
      <c r="B94">
        <v>148.76673889160199</v>
      </c>
      <c r="C94">
        <v>0</v>
      </c>
      <c r="D94">
        <v>137.04420471191401</v>
      </c>
      <c r="E94">
        <v>39.91748046875</v>
      </c>
      <c r="F94">
        <v>6.32249212265015</v>
      </c>
      <c r="G94">
        <v>60.694957733154297</v>
      </c>
      <c r="H94">
        <v>111.481002807617</v>
      </c>
      <c r="I94">
        <v>39.528354644775398</v>
      </c>
      <c r="J94">
        <v>6.29998826980591</v>
      </c>
      <c r="K94">
        <v>17.968837738037099</v>
      </c>
      <c r="L94">
        <v>112.24957275390599</v>
      </c>
      <c r="M94">
        <v>0</v>
      </c>
      <c r="N94">
        <v>26.842937469482401</v>
      </c>
      <c r="O94">
        <v>50</v>
      </c>
      <c r="P94">
        <v>50.324684143066399</v>
      </c>
      <c r="Q94">
        <v>6.32249212265015</v>
      </c>
      <c r="R94">
        <v>5.9731411933898899</v>
      </c>
      <c r="S94">
        <v>6.4999885559081996</v>
      </c>
      <c r="T94" s="4">
        <v>0.66519129276275601</v>
      </c>
      <c r="U94">
        <v>10.35</v>
      </c>
      <c r="V94">
        <v>9.41</v>
      </c>
      <c r="W94">
        <f t="shared" si="3"/>
        <v>9.6477815162336782</v>
      </c>
      <c r="X94" s="4">
        <f t="shared" si="4"/>
        <v>0.23778151623367805</v>
      </c>
      <c r="Y94" s="4">
        <f t="shared" si="5"/>
        <v>0.76703962346226284</v>
      </c>
      <c r="Z94" s="4">
        <v>0.30999900000000002</v>
      </c>
    </row>
    <row r="95" spans="1:26" x14ac:dyDescent="0.2">
      <c r="A95" t="s">
        <v>123</v>
      </c>
      <c r="B95">
        <v>148.92338562011699</v>
      </c>
      <c r="C95">
        <v>0</v>
      </c>
      <c r="D95">
        <v>138.12942504882801</v>
      </c>
      <c r="E95">
        <v>40.201248168945298</v>
      </c>
      <c r="F95">
        <v>6.3378372192382804</v>
      </c>
      <c r="G95">
        <v>63.774730682373097</v>
      </c>
      <c r="H95">
        <v>112.01267242431599</v>
      </c>
      <c r="I95">
        <v>40.357975006103501</v>
      </c>
      <c r="J95">
        <v>6.2999901771545401</v>
      </c>
      <c r="K95">
        <v>17.188798904418899</v>
      </c>
      <c r="L95">
        <v>112.002304077148</v>
      </c>
      <c r="M95">
        <v>0</v>
      </c>
      <c r="N95">
        <v>24.996994018554702</v>
      </c>
      <c r="O95">
        <v>50</v>
      </c>
      <c r="P95">
        <v>49.808059692382798</v>
      </c>
      <c r="Q95">
        <v>6.3378372192382804</v>
      </c>
      <c r="R95">
        <v>8.5921678543090803</v>
      </c>
      <c r="S95">
        <v>6.4999909400939897</v>
      </c>
      <c r="T95" s="4">
        <v>0.63557660579681396</v>
      </c>
      <c r="U95">
        <v>10.06</v>
      </c>
      <c r="V95">
        <v>9.2100000000000009</v>
      </c>
      <c r="W95">
        <f t="shared" si="3"/>
        <v>9.2182569078576559</v>
      </c>
      <c r="X95" s="4">
        <f t="shared" si="4"/>
        <v>8.2569078576550936E-3</v>
      </c>
      <c r="Y95" s="4">
        <f t="shared" si="5"/>
        <v>2.663527255783113E-2</v>
      </c>
      <c r="Z95" s="4">
        <v>0.30999900000000002</v>
      </c>
    </row>
    <row r="96" spans="1:26" x14ac:dyDescent="0.2">
      <c r="A96" t="s">
        <v>124</v>
      </c>
      <c r="B96">
        <v>148.78153991699199</v>
      </c>
      <c r="C96">
        <v>0</v>
      </c>
      <c r="D96">
        <v>137.31214904785199</v>
      </c>
      <c r="E96">
        <v>39.373386383056598</v>
      </c>
      <c r="F96">
        <v>6.3129649162292498</v>
      </c>
      <c r="G96">
        <v>63.345840454101598</v>
      </c>
      <c r="H96">
        <v>111.010200500488</v>
      </c>
      <c r="I96">
        <v>40.212448120117202</v>
      </c>
      <c r="J96">
        <v>6.2999839782714799</v>
      </c>
      <c r="K96">
        <v>17.691612243652301</v>
      </c>
      <c r="L96">
        <v>112.000938415527</v>
      </c>
      <c r="M96">
        <v>0</v>
      </c>
      <c r="N96">
        <v>25.8274326324463</v>
      </c>
      <c r="O96">
        <v>50</v>
      </c>
      <c r="P96">
        <v>49.802688598632798</v>
      </c>
      <c r="Q96">
        <v>6.3129649162292498</v>
      </c>
      <c r="R96">
        <v>6.89656734466553</v>
      </c>
      <c r="S96">
        <v>6.4999847412109402</v>
      </c>
      <c r="T96" s="4">
        <v>0.66608285903930697</v>
      </c>
      <c r="U96">
        <v>10.62</v>
      </c>
      <c r="V96">
        <v>9.7200000000000006</v>
      </c>
      <c r="W96">
        <f t="shared" si="3"/>
        <v>9.6607125884485292</v>
      </c>
      <c r="X96" s="4">
        <f t="shared" si="4"/>
        <v>-5.9287411551471436E-2</v>
      </c>
      <c r="Y96" s="4">
        <f t="shared" si="5"/>
        <v>-0.19125033161871952</v>
      </c>
      <c r="Z96" s="4">
        <v>0.30999900000000002</v>
      </c>
    </row>
    <row r="97" spans="1:26" x14ac:dyDescent="0.2">
      <c r="A97" t="s">
        <v>125</v>
      </c>
      <c r="B97">
        <v>148.15174865722699</v>
      </c>
      <c r="C97">
        <v>0</v>
      </c>
      <c r="D97">
        <v>165.29251098632801</v>
      </c>
      <c r="E97">
        <v>39.770034790039098</v>
      </c>
      <c r="F97">
        <v>6.3047614097595197</v>
      </c>
      <c r="G97">
        <v>62.2345581054688</v>
      </c>
      <c r="H97">
        <v>110.27606201171901</v>
      </c>
      <c r="I97">
        <v>39.09521484375</v>
      </c>
      <c r="J97">
        <v>6.2999863624572798</v>
      </c>
      <c r="K97">
        <v>19.2463893890381</v>
      </c>
      <c r="L97">
        <v>112.211990356445</v>
      </c>
      <c r="M97">
        <v>0</v>
      </c>
      <c r="N97">
        <v>26.390092849731399</v>
      </c>
      <c r="O97">
        <v>50</v>
      </c>
      <c r="P97">
        <v>49.9775390625</v>
      </c>
      <c r="Q97">
        <v>6.3047614097595197</v>
      </c>
      <c r="R97">
        <v>7.2955408096313503</v>
      </c>
      <c r="S97">
        <v>6.4999866485595703</v>
      </c>
      <c r="T97" s="4">
        <v>0.67336499691009499</v>
      </c>
      <c r="U97">
        <v>10.63</v>
      </c>
      <c r="V97">
        <v>9.73</v>
      </c>
      <c r="W97">
        <f t="shared" si="3"/>
        <v>9.7663310412347286</v>
      </c>
      <c r="X97" s="4">
        <f t="shared" si="4"/>
        <v>3.633104123472819E-2</v>
      </c>
      <c r="Y97" s="4">
        <f t="shared" si="5"/>
        <v>0.11719728526455953</v>
      </c>
      <c r="Z97" s="4">
        <v>0.30999900000000002</v>
      </c>
    </row>
    <row r="98" spans="1:26" x14ac:dyDescent="0.2">
      <c r="A98" t="s">
        <v>126</v>
      </c>
      <c r="B98">
        <v>148.41583251953099</v>
      </c>
      <c r="C98">
        <v>0</v>
      </c>
      <c r="D98">
        <v>131.246826171875</v>
      </c>
      <c r="E98">
        <v>39.931106567382798</v>
      </c>
      <c r="F98">
        <v>6.2854108810424796</v>
      </c>
      <c r="G98">
        <v>65.527236938476605</v>
      </c>
      <c r="H98">
        <v>112.931533813477</v>
      </c>
      <c r="I98">
        <v>38.961505889892599</v>
      </c>
      <c r="J98">
        <v>6.29998826980591</v>
      </c>
      <c r="K98">
        <v>16.032884597778299</v>
      </c>
      <c r="L98">
        <v>112.017120361328</v>
      </c>
      <c r="M98">
        <v>0</v>
      </c>
      <c r="N98">
        <v>25.145362854003899</v>
      </c>
      <c r="O98">
        <v>50</v>
      </c>
      <c r="P98">
        <v>49.553520202636697</v>
      </c>
      <c r="Q98">
        <v>6.2854108810424796</v>
      </c>
      <c r="R98">
        <v>11.137004852294901</v>
      </c>
      <c r="S98">
        <v>6.4999885559081996</v>
      </c>
      <c r="T98" s="4">
        <v>0.62010169029235795</v>
      </c>
      <c r="U98">
        <v>9.44</v>
      </c>
      <c r="V98">
        <v>8.64</v>
      </c>
      <c r="W98">
        <f t="shared" si="3"/>
        <v>8.993812292611592</v>
      </c>
      <c r="X98" s="4">
        <f t="shared" si="4"/>
        <v>0.35381229261159142</v>
      </c>
      <c r="Y98" s="4">
        <f t="shared" si="5"/>
        <v>1.141333657887901</v>
      </c>
      <c r="Z98" s="4">
        <v>0.30999900000000002</v>
      </c>
    </row>
    <row r="99" spans="1:26" x14ac:dyDescent="0.2">
      <c r="A99" t="s">
        <v>127</v>
      </c>
      <c r="B99">
        <v>148.29487609863301</v>
      </c>
      <c r="C99">
        <v>0</v>
      </c>
      <c r="D99">
        <v>125.23004150390599</v>
      </c>
      <c r="E99">
        <v>39.583763122558601</v>
      </c>
      <c r="F99">
        <v>6.3193712234497097</v>
      </c>
      <c r="G99">
        <v>63.671077728271499</v>
      </c>
      <c r="H99">
        <v>111.85296630859401</v>
      </c>
      <c r="I99">
        <v>39.551811218261697</v>
      </c>
      <c r="J99">
        <v>6.29998826980591</v>
      </c>
      <c r="K99">
        <v>16.081943511962901</v>
      </c>
      <c r="L99">
        <v>112.00201416015599</v>
      </c>
      <c r="M99">
        <v>0</v>
      </c>
      <c r="N99">
        <v>24.955430984497099</v>
      </c>
      <c r="O99">
        <v>50</v>
      </c>
      <c r="P99">
        <v>49.678798675537102</v>
      </c>
      <c r="Q99">
        <v>6.3193712234497097</v>
      </c>
      <c r="R99">
        <v>7.7768025398254403</v>
      </c>
      <c r="S99">
        <v>6.4999885559081996</v>
      </c>
      <c r="T99" s="4">
        <v>0.61784833669662498</v>
      </c>
      <c r="U99">
        <v>9.89</v>
      </c>
      <c r="V99">
        <v>9.0500000000000007</v>
      </c>
      <c r="W99">
        <f t="shared" si="3"/>
        <v>8.9611301703304083</v>
      </c>
      <c r="X99" s="4">
        <f t="shared" si="4"/>
        <v>-8.8869829669592448E-2</v>
      </c>
      <c r="Y99" s="4">
        <f t="shared" si="5"/>
        <v>-0.28667779466899068</v>
      </c>
      <c r="Z99" s="4">
        <v>0.30999900000000002</v>
      </c>
    </row>
    <row r="100" spans="1:26" x14ac:dyDescent="0.2">
      <c r="A100" t="s">
        <v>128</v>
      </c>
      <c r="B100">
        <v>148.76399230957</v>
      </c>
      <c r="C100">
        <v>0</v>
      </c>
      <c r="D100">
        <v>132.31048583984401</v>
      </c>
      <c r="E100">
        <v>40.048110961914098</v>
      </c>
      <c r="F100">
        <v>6.3443522453308097</v>
      </c>
      <c r="G100">
        <v>62.907138824462898</v>
      </c>
      <c r="H100">
        <v>111.333366394043</v>
      </c>
      <c r="I100">
        <v>40.725040435791001</v>
      </c>
      <c r="J100">
        <v>6.29998826980591</v>
      </c>
      <c r="K100">
        <v>16.914453506469702</v>
      </c>
      <c r="L100">
        <v>112.001022338867</v>
      </c>
      <c r="M100">
        <v>0</v>
      </c>
      <c r="N100">
        <v>25.260501861572301</v>
      </c>
      <c r="O100">
        <v>50</v>
      </c>
      <c r="P100">
        <v>49.698394775390597</v>
      </c>
      <c r="Q100">
        <v>6.3443522453308097</v>
      </c>
      <c r="R100">
        <v>9.9936370849609393</v>
      </c>
      <c r="S100">
        <v>6.4999885559081996</v>
      </c>
      <c r="T100" s="4">
        <v>0.57450127601623502</v>
      </c>
      <c r="U100">
        <v>8.77</v>
      </c>
      <c r="V100">
        <v>8.0299999999999994</v>
      </c>
      <c r="W100">
        <f t="shared" si="3"/>
        <v>8.3324343720459879</v>
      </c>
      <c r="X100" s="4">
        <f t="shared" si="4"/>
        <v>0.30243437204598855</v>
      </c>
      <c r="Y100" s="4">
        <f t="shared" si="5"/>
        <v>0.97559789562543275</v>
      </c>
      <c r="Z100" s="4">
        <v>0.30999900000000002</v>
      </c>
    </row>
    <row r="101" spans="1:26" x14ac:dyDescent="0.2">
      <c r="A101" t="s">
        <v>129</v>
      </c>
      <c r="B101">
        <v>148.25921630859401</v>
      </c>
      <c r="C101">
        <v>0</v>
      </c>
      <c r="D101">
        <v>150.93719482421901</v>
      </c>
      <c r="E101">
        <v>39.891693115234403</v>
      </c>
      <c r="F101">
        <v>6.3020925521850604</v>
      </c>
      <c r="G101">
        <v>65.595298767089801</v>
      </c>
      <c r="H101">
        <v>111.72341156005901</v>
      </c>
      <c r="I101">
        <v>40.1935844421387</v>
      </c>
      <c r="J101">
        <v>6.29998826980591</v>
      </c>
      <c r="K101">
        <v>18.825279235839801</v>
      </c>
      <c r="L101">
        <v>112</v>
      </c>
      <c r="M101">
        <v>0</v>
      </c>
      <c r="N101">
        <v>25.872278213501001</v>
      </c>
      <c r="O101">
        <v>50</v>
      </c>
      <c r="P101">
        <v>49.760429382324197</v>
      </c>
      <c r="Q101">
        <v>6.3020925521850604</v>
      </c>
      <c r="R101">
        <v>6.95167779922485</v>
      </c>
      <c r="S101">
        <v>6.4999885559081996</v>
      </c>
      <c r="T101" s="4">
        <v>0.61025363206863403</v>
      </c>
      <c r="U101">
        <v>10.01</v>
      </c>
      <c r="V101">
        <v>9.16</v>
      </c>
      <c r="W101">
        <f t="shared" si="3"/>
        <v>8.8509783211880926</v>
      </c>
      <c r="X101" s="4">
        <f t="shared" si="4"/>
        <v>-0.30902167881190756</v>
      </c>
      <c r="Y101" s="4">
        <f t="shared" si="5"/>
        <v>-0.99684734083628512</v>
      </c>
      <c r="Z101" s="4">
        <v>0.30999900000000002</v>
      </c>
    </row>
    <row r="102" spans="1:26" x14ac:dyDescent="0.2">
      <c r="A102" t="s">
        <v>130</v>
      </c>
      <c r="B102">
        <v>149.20202636718801</v>
      </c>
      <c r="C102">
        <v>0</v>
      </c>
      <c r="D102">
        <v>140.70230102539099</v>
      </c>
      <c r="E102">
        <v>41.495559692382798</v>
      </c>
      <c r="F102">
        <v>6.2694473266601598</v>
      </c>
      <c r="G102">
        <v>63.954017639160199</v>
      </c>
      <c r="H102">
        <v>112.65056610107401</v>
      </c>
      <c r="I102">
        <v>38.245685577392599</v>
      </c>
      <c r="J102">
        <v>6.29998826980591</v>
      </c>
      <c r="K102">
        <v>18.222368240356399</v>
      </c>
      <c r="L102">
        <v>112.000450134277</v>
      </c>
      <c r="M102">
        <v>0</v>
      </c>
      <c r="N102">
        <v>27.1924934387207</v>
      </c>
      <c r="O102">
        <v>50</v>
      </c>
      <c r="P102">
        <v>50.026851654052699</v>
      </c>
      <c r="Q102">
        <v>6.2694473266601598</v>
      </c>
      <c r="R102">
        <v>8.3458738327026403</v>
      </c>
      <c r="S102">
        <v>6.4999876022338903</v>
      </c>
      <c r="T102" s="4">
        <v>0.56320780515670799</v>
      </c>
      <c r="U102">
        <v>9.35</v>
      </c>
      <c r="V102">
        <v>8.5500000000000007</v>
      </c>
      <c r="W102">
        <f t="shared" si="3"/>
        <v>8.1686364681977057</v>
      </c>
      <c r="X102" s="4">
        <f t="shared" si="4"/>
        <v>-0.38136353180229499</v>
      </c>
      <c r="Y102" s="4">
        <f t="shared" si="5"/>
        <v>-1.2302089097135636</v>
      </c>
      <c r="Z102" s="4">
        <v>0.30999900000000002</v>
      </c>
    </row>
    <row r="103" spans="1:26" x14ac:dyDescent="0.2">
      <c r="A103" t="s">
        <v>131</v>
      </c>
      <c r="B103">
        <v>148.60151672363301</v>
      </c>
      <c r="C103">
        <v>0</v>
      </c>
      <c r="D103">
        <v>134.87472534179699</v>
      </c>
      <c r="E103">
        <v>40.624702453613303</v>
      </c>
      <c r="F103">
        <v>6.3458528518676802</v>
      </c>
      <c r="G103">
        <v>63.593460083007798</v>
      </c>
      <c r="H103">
        <v>112.75188446044901</v>
      </c>
      <c r="I103">
        <v>40.599662780761697</v>
      </c>
      <c r="J103">
        <v>6.29998826980591</v>
      </c>
      <c r="K103">
        <v>16.932918548583999</v>
      </c>
      <c r="L103">
        <v>112.000198364258</v>
      </c>
      <c r="M103">
        <v>0</v>
      </c>
      <c r="N103">
        <v>26.182134628295898</v>
      </c>
      <c r="O103">
        <v>50</v>
      </c>
      <c r="P103">
        <v>49.828559875488303</v>
      </c>
      <c r="Q103">
        <v>6.3458528518676802</v>
      </c>
      <c r="R103">
        <v>8.8541135787963903</v>
      </c>
      <c r="S103">
        <v>6.4999885559081996</v>
      </c>
      <c r="T103" s="4">
        <v>0.63940626382827803</v>
      </c>
      <c r="U103">
        <v>10.38</v>
      </c>
      <c r="V103">
        <v>9.49</v>
      </c>
      <c r="W103">
        <f t="shared" si="3"/>
        <v>9.2738013871246636</v>
      </c>
      <c r="X103" s="4">
        <f t="shared" si="4"/>
        <v>-0.21619861287533659</v>
      </c>
      <c r="Y103" s="4">
        <f t="shared" si="5"/>
        <v>-0.6974171299756986</v>
      </c>
      <c r="Z103" s="4">
        <v>0.30999900000000002</v>
      </c>
    </row>
    <row r="104" spans="1:26" x14ac:dyDescent="0.2">
      <c r="A104" t="s">
        <v>132</v>
      </c>
      <c r="B104">
        <v>148.95541381835901</v>
      </c>
      <c r="C104">
        <v>0</v>
      </c>
      <c r="D104">
        <v>161.18745422363301</v>
      </c>
      <c r="E104">
        <v>40.342174530029297</v>
      </c>
      <c r="F104">
        <v>6.3519926071167001</v>
      </c>
      <c r="G104">
        <v>62.4440307617188</v>
      </c>
      <c r="H104">
        <v>110.617301940918</v>
      </c>
      <c r="I104">
        <v>41.544681549072301</v>
      </c>
      <c r="J104">
        <v>6.29998826980591</v>
      </c>
      <c r="K104">
        <v>19.487705230712901</v>
      </c>
      <c r="L104">
        <v>112.00030517578099</v>
      </c>
      <c r="M104">
        <v>0</v>
      </c>
      <c r="N104">
        <v>27.5345554351807</v>
      </c>
      <c r="O104">
        <v>50</v>
      </c>
      <c r="P104">
        <v>50.273403167724602</v>
      </c>
      <c r="Q104">
        <v>6.3519926071167001</v>
      </c>
      <c r="R104">
        <v>8.5896720886230504</v>
      </c>
      <c r="S104">
        <v>6.4999885559081996</v>
      </c>
      <c r="T104" s="4">
        <v>0.55185514688491799</v>
      </c>
      <c r="U104">
        <v>8.35</v>
      </c>
      <c r="V104">
        <v>7.64</v>
      </c>
      <c r="W104">
        <f t="shared" si="3"/>
        <v>8.003980123735067</v>
      </c>
      <c r="X104" s="4">
        <f t="shared" si="4"/>
        <v>0.36398012373506727</v>
      </c>
      <c r="Y104" s="4">
        <f t="shared" si="5"/>
        <v>1.1741332189299554</v>
      </c>
      <c r="Z104" s="4">
        <v>0.30999900000000002</v>
      </c>
    </row>
    <row r="105" spans="1:26" x14ac:dyDescent="0.2">
      <c r="A105" t="s">
        <v>133</v>
      </c>
      <c r="B105">
        <v>149.28959655761699</v>
      </c>
      <c r="C105">
        <v>0</v>
      </c>
      <c r="D105">
        <v>133.366622924805</v>
      </c>
      <c r="E105">
        <v>41.288173675537102</v>
      </c>
      <c r="F105">
        <v>6.2754411697387704</v>
      </c>
      <c r="G105">
        <v>64.841201782226605</v>
      </c>
      <c r="H105">
        <v>112.83502960205099</v>
      </c>
      <c r="I105">
        <v>38.707969665527301</v>
      </c>
      <c r="J105">
        <v>6.2999901771545401</v>
      </c>
      <c r="K105">
        <v>16.691308975219702</v>
      </c>
      <c r="L105">
        <v>112.00325012207</v>
      </c>
      <c r="M105">
        <v>0</v>
      </c>
      <c r="N105">
        <v>26.53928565979</v>
      </c>
      <c r="O105">
        <v>50</v>
      </c>
      <c r="P105">
        <v>50.614833831787102</v>
      </c>
      <c r="Q105">
        <v>6.2754411697387704</v>
      </c>
      <c r="R105">
        <v>7.3814630508422896</v>
      </c>
      <c r="S105">
        <v>6.4999909400939897</v>
      </c>
      <c r="T105" s="4">
        <v>0.63040924072265603</v>
      </c>
      <c r="U105">
        <v>10.42</v>
      </c>
      <c r="V105">
        <v>9.5299999999999994</v>
      </c>
      <c r="W105">
        <f t="shared" si="3"/>
        <v>9.1433106333160357</v>
      </c>
      <c r="X105" s="4">
        <f t="shared" si="4"/>
        <v>-0.3866893666839637</v>
      </c>
      <c r="Y105" s="4">
        <f t="shared" si="5"/>
        <v>-1.2473890776549721</v>
      </c>
      <c r="Z105" s="4">
        <v>0.30999900000000002</v>
      </c>
    </row>
    <row r="106" spans="1:26" x14ac:dyDescent="0.2">
      <c r="A106" t="s">
        <v>134</v>
      </c>
      <c r="B106">
        <v>148.72857666015599</v>
      </c>
      <c r="C106">
        <v>0</v>
      </c>
      <c r="D106">
        <v>143.26461791992199</v>
      </c>
      <c r="E106">
        <v>41.727005004882798</v>
      </c>
      <c r="F106">
        <v>6.3044509887695304</v>
      </c>
      <c r="G106">
        <v>64.3656005859375</v>
      </c>
      <c r="H106">
        <v>111.371452331543</v>
      </c>
      <c r="I106">
        <v>38.566085815429702</v>
      </c>
      <c r="J106">
        <v>6.2999949455261204</v>
      </c>
      <c r="K106">
        <v>17.575819015502901</v>
      </c>
      <c r="L106">
        <v>112.00075531005901</v>
      </c>
      <c r="M106">
        <v>0</v>
      </c>
      <c r="N106">
        <v>26.098638534545898</v>
      </c>
      <c r="O106">
        <v>50</v>
      </c>
      <c r="P106">
        <v>49.468128204345703</v>
      </c>
      <c r="Q106">
        <v>6.3044509887695304</v>
      </c>
      <c r="R106">
        <v>7.3239097595214799</v>
      </c>
      <c r="S106">
        <v>6.4999952316284197</v>
      </c>
      <c r="T106" s="4">
        <v>0.64631628990173295</v>
      </c>
      <c r="U106">
        <v>10.34</v>
      </c>
      <c r="V106">
        <v>9.4600000000000009</v>
      </c>
      <c r="W106">
        <f t="shared" si="3"/>
        <v>9.3740228159880576</v>
      </c>
      <c r="X106" s="4">
        <f t="shared" si="4"/>
        <v>-8.5977184011943208E-2</v>
      </c>
      <c r="Y106" s="4">
        <f t="shared" si="5"/>
        <v>-0.27734664954384758</v>
      </c>
      <c r="Z106" s="4">
        <v>0.30999900000000002</v>
      </c>
    </row>
    <row r="107" spans="1:26" x14ac:dyDescent="0.2">
      <c r="A107" t="s">
        <v>135</v>
      </c>
      <c r="B107">
        <v>148.71768188476599</v>
      </c>
      <c r="C107">
        <v>0</v>
      </c>
      <c r="D107">
        <v>113.523956298828</v>
      </c>
      <c r="E107">
        <v>42.804031372070298</v>
      </c>
      <c r="F107">
        <v>6.2583270072937003</v>
      </c>
      <c r="G107">
        <v>66.196258544921903</v>
      </c>
      <c r="H107">
        <v>112.761589050293</v>
      </c>
      <c r="I107">
        <v>35.796401977539098</v>
      </c>
      <c r="J107">
        <v>6.2999949455261204</v>
      </c>
      <c r="K107">
        <v>15.013801574706999</v>
      </c>
      <c r="L107">
        <v>112.002311706543</v>
      </c>
      <c r="M107">
        <v>0</v>
      </c>
      <c r="N107">
        <v>23.613132476806602</v>
      </c>
      <c r="O107">
        <v>50</v>
      </c>
      <c r="P107">
        <v>49.086414337158203</v>
      </c>
      <c r="Q107">
        <v>6.2583270072937003</v>
      </c>
      <c r="R107">
        <v>9.54205417633057</v>
      </c>
      <c r="S107">
        <v>6.4999952316284197</v>
      </c>
      <c r="T107" s="4">
        <v>0.660822093486786</v>
      </c>
      <c r="U107">
        <v>10.57</v>
      </c>
      <c r="V107">
        <v>9.67</v>
      </c>
      <c r="W107">
        <f t="shared" si="3"/>
        <v>9.5844116548508413</v>
      </c>
      <c r="X107" s="4">
        <f t="shared" si="4"/>
        <v>-8.5588345149158584E-2</v>
      </c>
      <c r="Y107" s="4">
        <f t="shared" si="5"/>
        <v>-0.27609232658543603</v>
      </c>
      <c r="Z107" s="4">
        <v>0.30999900000000002</v>
      </c>
    </row>
    <row r="108" spans="1:26" x14ac:dyDescent="0.2">
      <c r="A108" t="s">
        <v>136</v>
      </c>
      <c r="B108">
        <v>149.01972961425801</v>
      </c>
      <c r="C108">
        <v>0</v>
      </c>
      <c r="D108">
        <v>126.67173004150401</v>
      </c>
      <c r="E108">
        <v>41.2056884765625</v>
      </c>
      <c r="F108">
        <v>6.3515510559081996</v>
      </c>
      <c r="G108">
        <v>64.390472412109403</v>
      </c>
      <c r="H108">
        <v>112.52702331543</v>
      </c>
      <c r="I108">
        <v>39.891117095947301</v>
      </c>
      <c r="J108">
        <v>6.2999949455261204</v>
      </c>
      <c r="K108">
        <v>17.324222564697301</v>
      </c>
      <c r="L108">
        <v>112.002685546875</v>
      </c>
      <c r="M108">
        <v>0</v>
      </c>
      <c r="N108">
        <v>24.794904708862301</v>
      </c>
      <c r="O108">
        <v>50</v>
      </c>
      <c r="P108">
        <v>49.743522644042997</v>
      </c>
      <c r="Q108">
        <v>6.3515510559081996</v>
      </c>
      <c r="R108">
        <v>7.8436832427978498</v>
      </c>
      <c r="S108">
        <v>6.4999952316284197</v>
      </c>
      <c r="T108" s="4">
        <v>0.64566540718078602</v>
      </c>
      <c r="U108">
        <v>10.06</v>
      </c>
      <c r="V108">
        <v>9.2100000000000009</v>
      </c>
      <c r="W108">
        <f t="shared" si="3"/>
        <v>9.3645825627064685</v>
      </c>
      <c r="X108" s="4">
        <f t="shared" si="4"/>
        <v>0.15458256270646764</v>
      </c>
      <c r="Y108" s="4">
        <f t="shared" si="5"/>
        <v>0.49865503665001382</v>
      </c>
      <c r="Z108" s="4">
        <v>0.30999900000000002</v>
      </c>
    </row>
    <row r="109" spans="1:26" x14ac:dyDescent="0.2">
      <c r="A109" t="s">
        <v>137</v>
      </c>
      <c r="B109">
        <v>149.10235595703099</v>
      </c>
      <c r="C109">
        <v>0</v>
      </c>
      <c r="D109">
        <v>130.12051391601599</v>
      </c>
      <c r="E109">
        <v>40.115398406982401</v>
      </c>
      <c r="F109">
        <v>6.3236680030822798</v>
      </c>
      <c r="G109">
        <v>63.574470520019503</v>
      </c>
      <c r="H109">
        <v>113.182624816895</v>
      </c>
      <c r="I109">
        <v>39.238315582275398</v>
      </c>
      <c r="J109">
        <v>6.2999949455261204</v>
      </c>
      <c r="K109">
        <v>17.786623001098601</v>
      </c>
      <c r="L109">
        <v>112.000289916992</v>
      </c>
      <c r="M109">
        <v>0</v>
      </c>
      <c r="N109">
        <v>25.1038703918457</v>
      </c>
      <c r="O109">
        <v>50</v>
      </c>
      <c r="P109">
        <v>50.0550537109375</v>
      </c>
      <c r="Q109">
        <v>6.3236680030822798</v>
      </c>
      <c r="R109">
        <v>8.8134059906005895</v>
      </c>
      <c r="S109">
        <v>6.4999952316284197</v>
      </c>
      <c r="T109" s="4">
        <v>0.64046597480773904</v>
      </c>
      <c r="U109">
        <v>10.119999999999999</v>
      </c>
      <c r="V109">
        <v>9.26</v>
      </c>
      <c r="W109">
        <f t="shared" si="3"/>
        <v>9.2891711914372408</v>
      </c>
      <c r="X109" s="4">
        <f t="shared" si="4"/>
        <v>2.9171191437241006E-2</v>
      </c>
      <c r="Y109" s="4">
        <f t="shared" si="5"/>
        <v>9.4100921090845474E-2</v>
      </c>
      <c r="Z109" s="4">
        <v>0.30999900000000002</v>
      </c>
    </row>
    <row r="110" spans="1:26" x14ac:dyDescent="0.2">
      <c r="A110" t="s">
        <v>138</v>
      </c>
      <c r="B110">
        <v>149.10173034668</v>
      </c>
      <c r="C110">
        <v>0</v>
      </c>
      <c r="D110">
        <v>131.01335144043</v>
      </c>
      <c r="E110">
        <v>40.6146850585938</v>
      </c>
      <c r="F110">
        <v>6.32010793685913</v>
      </c>
      <c r="G110">
        <v>63.389942169189503</v>
      </c>
      <c r="H110">
        <v>112.494018554688</v>
      </c>
      <c r="I110">
        <v>38.435306549072301</v>
      </c>
      <c r="J110">
        <v>6.2999949455261204</v>
      </c>
      <c r="K110">
        <v>17.194866180419901</v>
      </c>
      <c r="L110">
        <v>112.00047302246099</v>
      </c>
      <c r="M110">
        <v>0</v>
      </c>
      <c r="N110">
        <v>26.268558502197301</v>
      </c>
      <c r="O110">
        <v>50</v>
      </c>
      <c r="P110">
        <v>50.316162109375</v>
      </c>
      <c r="Q110">
        <v>6.3098173141479501</v>
      </c>
      <c r="R110">
        <v>5.25917768478394</v>
      </c>
      <c r="S110">
        <v>6.4999952316284197</v>
      </c>
      <c r="T110" s="4">
        <v>0.64640414714813199</v>
      </c>
      <c r="U110">
        <v>9.8000000000000007</v>
      </c>
      <c r="V110">
        <v>8.9700000000000006</v>
      </c>
      <c r="W110">
        <f t="shared" si="3"/>
        <v>9.3752970772826618</v>
      </c>
      <c r="X110" s="4">
        <f t="shared" si="4"/>
        <v>0.40529707728266118</v>
      </c>
      <c r="Y110" s="4">
        <f t="shared" si="5"/>
        <v>1.307414144183243</v>
      </c>
      <c r="Z110" s="4">
        <v>0.30999900000000002</v>
      </c>
    </row>
    <row r="111" spans="1:26" x14ac:dyDescent="0.2">
      <c r="A111" t="s">
        <v>139</v>
      </c>
      <c r="B111">
        <v>148.87484741210901</v>
      </c>
      <c r="C111">
        <v>0</v>
      </c>
      <c r="D111">
        <v>124.816612243652</v>
      </c>
      <c r="E111">
        <v>41.402744293212898</v>
      </c>
      <c r="F111">
        <v>6.31209468841553</v>
      </c>
      <c r="G111">
        <v>64.246749877929702</v>
      </c>
      <c r="H111">
        <v>111.912185668945</v>
      </c>
      <c r="I111">
        <v>39.019805908203097</v>
      </c>
      <c r="J111">
        <v>6.2999949455261204</v>
      </c>
      <c r="K111">
        <v>17.421442031860401</v>
      </c>
      <c r="L111">
        <v>112.000160217285</v>
      </c>
      <c r="M111">
        <v>0</v>
      </c>
      <c r="N111">
        <v>25.056516647338899</v>
      </c>
      <c r="O111">
        <v>50</v>
      </c>
      <c r="P111">
        <v>49.547657012939503</v>
      </c>
      <c r="Q111">
        <v>6.30615186691284</v>
      </c>
      <c r="R111">
        <v>8.6160259246826207</v>
      </c>
      <c r="S111">
        <v>6.4999952316284197</v>
      </c>
      <c r="T111" s="4">
        <v>0.65510499477386497</v>
      </c>
      <c r="U111">
        <v>10.56</v>
      </c>
      <c r="V111">
        <v>9.66</v>
      </c>
      <c r="W111">
        <f t="shared" si="3"/>
        <v>9.5014921700513391</v>
      </c>
      <c r="X111" s="4">
        <f t="shared" si="4"/>
        <v>-0.15850782994866108</v>
      </c>
      <c r="Y111" s="4">
        <f t="shared" si="5"/>
        <v>-0.51131722988997086</v>
      </c>
      <c r="Z111" s="4">
        <v>0.30999900000000002</v>
      </c>
    </row>
    <row r="112" spans="1:26" x14ac:dyDescent="0.2">
      <c r="A112" t="s">
        <v>140</v>
      </c>
      <c r="B112">
        <v>148.852615356445</v>
      </c>
      <c r="C112">
        <v>0</v>
      </c>
      <c r="D112">
        <v>129.00584411621099</v>
      </c>
      <c r="E112">
        <v>41.338348388671903</v>
      </c>
      <c r="F112">
        <v>6.4051198959350604</v>
      </c>
      <c r="G112">
        <v>61.795848846435597</v>
      </c>
      <c r="H112">
        <v>111.097496032715</v>
      </c>
      <c r="I112">
        <v>41.065460205078097</v>
      </c>
      <c r="J112">
        <v>6.2999944686889702</v>
      </c>
      <c r="K112">
        <v>17.586574554443398</v>
      </c>
      <c r="L112">
        <v>112.07111358642599</v>
      </c>
      <c r="M112">
        <v>0</v>
      </c>
      <c r="N112">
        <v>25.060928344726602</v>
      </c>
      <c r="O112">
        <v>50</v>
      </c>
      <c r="P112">
        <v>50.154800415039098</v>
      </c>
      <c r="Q112">
        <v>6.3949918746948198</v>
      </c>
      <c r="R112">
        <v>6.3622355461120597</v>
      </c>
      <c r="S112">
        <v>6.4999938011169398</v>
      </c>
      <c r="T112" s="4">
        <v>0.66524386405944802</v>
      </c>
      <c r="U112">
        <v>10.85</v>
      </c>
      <c r="V112">
        <v>9.93</v>
      </c>
      <c r="W112">
        <f t="shared" si="3"/>
        <v>9.6485439982294992</v>
      </c>
      <c r="X112" s="4">
        <f t="shared" si="4"/>
        <v>-0.28145600177050056</v>
      </c>
      <c r="Y112" s="4">
        <f t="shared" si="5"/>
        <v>-0.90792551514843767</v>
      </c>
      <c r="Z112" s="4">
        <v>0.30999900000000002</v>
      </c>
    </row>
    <row r="113" spans="1:26" x14ac:dyDescent="0.2">
      <c r="A113" t="s">
        <v>141</v>
      </c>
      <c r="B113">
        <v>148.70492553710901</v>
      </c>
      <c r="C113">
        <v>0</v>
      </c>
      <c r="D113">
        <v>129.89500427246099</v>
      </c>
      <c r="E113">
        <v>41.1849555969238</v>
      </c>
      <c r="F113">
        <v>6.3199505805969203</v>
      </c>
      <c r="G113">
        <v>63.667457580566399</v>
      </c>
      <c r="H113">
        <v>111.365753173828</v>
      </c>
      <c r="I113">
        <v>38.146713256835902</v>
      </c>
      <c r="J113">
        <v>6.2999949455261204</v>
      </c>
      <c r="K113">
        <v>17.6642150878906</v>
      </c>
      <c r="L113">
        <v>112.02329254150401</v>
      </c>
      <c r="M113">
        <v>0</v>
      </c>
      <c r="N113">
        <v>24.7643337249756</v>
      </c>
      <c r="O113">
        <v>50</v>
      </c>
      <c r="P113">
        <v>49.710533142089801</v>
      </c>
      <c r="Q113">
        <v>6.3199505805969203</v>
      </c>
      <c r="R113">
        <v>7.8218674659729004</v>
      </c>
      <c r="S113">
        <v>6.4999952316284197</v>
      </c>
      <c r="T113" s="4">
        <v>0.65587127208709695</v>
      </c>
      <c r="U113">
        <v>10.23</v>
      </c>
      <c r="V113">
        <v>9.36</v>
      </c>
      <c r="W113">
        <f t="shared" si="3"/>
        <v>9.5126060799586742</v>
      </c>
      <c r="X113" s="4">
        <f t="shared" si="4"/>
        <v>0.15260607995867481</v>
      </c>
      <c r="Y113" s="4">
        <f t="shared" si="5"/>
        <v>0.49227926528367771</v>
      </c>
      <c r="Z113" s="4">
        <v>0.30999900000000002</v>
      </c>
    </row>
    <row r="114" spans="1:26" x14ac:dyDescent="0.2">
      <c r="A114" t="s">
        <v>142</v>
      </c>
      <c r="B114">
        <v>150.38410949707</v>
      </c>
      <c r="C114">
        <v>0</v>
      </c>
      <c r="D114">
        <v>140.78547668457</v>
      </c>
      <c r="E114">
        <v>40.957603454589801</v>
      </c>
      <c r="F114">
        <v>6.2792787551879901</v>
      </c>
      <c r="G114">
        <v>66.915290832519503</v>
      </c>
      <c r="H114">
        <v>113.47369384765599</v>
      </c>
      <c r="I114">
        <v>38.481460571289098</v>
      </c>
      <c r="J114">
        <v>6.2999815940856898</v>
      </c>
      <c r="K114">
        <v>18.3052158355713</v>
      </c>
      <c r="L114">
        <v>113.215538024902</v>
      </c>
      <c r="M114">
        <v>0</v>
      </c>
      <c r="N114">
        <v>25.993034362793001</v>
      </c>
      <c r="O114">
        <v>50</v>
      </c>
      <c r="P114">
        <v>50.221485137939503</v>
      </c>
      <c r="Q114">
        <v>6.2792787551879901</v>
      </c>
      <c r="R114">
        <v>7.0160293579101598</v>
      </c>
      <c r="S114">
        <v>6.4999814033508301</v>
      </c>
      <c r="T114" s="4">
        <v>0.65562677383422896</v>
      </c>
      <c r="U114">
        <v>10.73</v>
      </c>
      <c r="V114">
        <v>9.82</v>
      </c>
      <c r="W114">
        <f t="shared" si="3"/>
        <v>9.5090599335336741</v>
      </c>
      <c r="X114" s="4">
        <f t="shared" si="4"/>
        <v>-0.31094006646632621</v>
      </c>
      <c r="Y114" s="4">
        <f t="shared" si="5"/>
        <v>-1.0030357080710783</v>
      </c>
      <c r="Z114" s="4">
        <v>0.30999900000000002</v>
      </c>
    </row>
    <row r="115" spans="1:26" x14ac:dyDescent="0.2">
      <c r="A115" t="s">
        <v>143</v>
      </c>
      <c r="B115">
        <v>150.95669555664099</v>
      </c>
      <c r="C115">
        <v>0</v>
      </c>
      <c r="D115">
        <v>57.756439208984403</v>
      </c>
      <c r="E115">
        <v>41.009929656982401</v>
      </c>
      <c r="F115">
        <v>6.3070874214172399</v>
      </c>
      <c r="G115">
        <v>60.481094360351598</v>
      </c>
      <c r="H115">
        <v>112.63315582275401</v>
      </c>
      <c r="I115">
        <v>37.925075531005902</v>
      </c>
      <c r="J115">
        <v>6.2999858856201199</v>
      </c>
      <c r="K115">
        <v>19.5315647125244</v>
      </c>
      <c r="L115">
        <v>112.75803375244099</v>
      </c>
      <c r="M115">
        <v>0</v>
      </c>
      <c r="N115">
        <v>25.0788383483887</v>
      </c>
      <c r="O115">
        <v>50</v>
      </c>
      <c r="P115">
        <v>49.936267852783203</v>
      </c>
      <c r="Q115">
        <v>6.3070874214172399</v>
      </c>
      <c r="R115">
        <v>6.0711650848388699</v>
      </c>
      <c r="S115">
        <v>6.4999866485595703</v>
      </c>
      <c r="T115" s="4">
        <v>0.65716534852981601</v>
      </c>
      <c r="W115">
        <f t="shared" si="3"/>
        <v>9.5313750670462891</v>
      </c>
      <c r="X115" s="4">
        <f t="shared" si="4"/>
        <v>9.5313750670462891</v>
      </c>
      <c r="Y115" s="4">
        <f t="shared" si="5"/>
        <v>30.746470366182756</v>
      </c>
      <c r="Z115" s="4">
        <v>0.30999900000000002</v>
      </c>
    </row>
    <row r="116" spans="1:26" x14ac:dyDescent="0.2">
      <c r="A116" t="s">
        <v>144</v>
      </c>
      <c r="B116">
        <v>149.30650329589801</v>
      </c>
      <c r="C116">
        <v>0</v>
      </c>
      <c r="D116">
        <v>157.43838500976599</v>
      </c>
      <c r="E116">
        <v>40.384899139404297</v>
      </c>
      <c r="F116">
        <v>6.2910604476928702</v>
      </c>
      <c r="G116">
        <v>62.943244934082003</v>
      </c>
      <c r="H116">
        <v>113.093551635742</v>
      </c>
      <c r="I116">
        <v>38.990421295166001</v>
      </c>
      <c r="J116">
        <v>6.2999839782714799</v>
      </c>
      <c r="K116">
        <v>20.4450569152832</v>
      </c>
      <c r="L116">
        <v>113.30046844482401</v>
      </c>
      <c r="M116">
        <v>0</v>
      </c>
      <c r="N116">
        <v>25.1348667144775</v>
      </c>
      <c r="O116">
        <v>50</v>
      </c>
      <c r="P116">
        <v>49.790813446044901</v>
      </c>
      <c r="Q116">
        <v>6.2910604476928702</v>
      </c>
      <c r="R116">
        <v>9.8945894241333008</v>
      </c>
      <c r="S116">
        <v>6.4999837875366202</v>
      </c>
      <c r="T116" s="4">
        <v>0.67447018623352095</v>
      </c>
      <c r="U116">
        <v>10.57</v>
      </c>
      <c r="V116">
        <v>9.67</v>
      </c>
      <c r="W116">
        <f t="shared" si="3"/>
        <v>9.7823604529881543</v>
      </c>
      <c r="X116" s="4">
        <f t="shared" si="4"/>
        <v>0.11236045298815434</v>
      </c>
      <c r="Y116" s="4">
        <f t="shared" si="5"/>
        <v>0.3624542433625732</v>
      </c>
      <c r="Z116" s="4">
        <v>0.30999900000000002</v>
      </c>
    </row>
    <row r="117" spans="1:26" x14ac:dyDescent="0.2">
      <c r="A117" t="s">
        <v>145</v>
      </c>
      <c r="B117">
        <v>149.16407775878901</v>
      </c>
      <c r="C117">
        <v>0</v>
      </c>
      <c r="D117">
        <v>131.44882202148401</v>
      </c>
      <c r="E117">
        <v>41.614921569824197</v>
      </c>
      <c r="F117">
        <v>6.2749929428100604</v>
      </c>
      <c r="G117">
        <v>63.275344848632798</v>
      </c>
      <c r="H117">
        <v>111.49773406982401</v>
      </c>
      <c r="I117">
        <v>37.293182373046903</v>
      </c>
      <c r="J117">
        <v>6.2999863624572798</v>
      </c>
      <c r="K117">
        <v>17.5536499023438</v>
      </c>
      <c r="L117">
        <v>112.03533935546901</v>
      </c>
      <c r="M117">
        <v>0</v>
      </c>
      <c r="N117">
        <v>26.381637573242202</v>
      </c>
      <c r="O117">
        <v>50</v>
      </c>
      <c r="P117">
        <v>49.910659790039098</v>
      </c>
      <c r="Q117">
        <v>6.2749929428100604</v>
      </c>
      <c r="R117">
        <v>6.67234611511231</v>
      </c>
      <c r="S117">
        <v>6.4999866485595703</v>
      </c>
      <c r="T117" s="4">
        <v>0.65919440984725997</v>
      </c>
      <c r="U117">
        <v>10.28</v>
      </c>
      <c r="V117">
        <v>9.4</v>
      </c>
      <c r="W117">
        <f t="shared" si="3"/>
        <v>9.5608041057103925</v>
      </c>
      <c r="X117" s="4">
        <f t="shared" si="4"/>
        <v>0.16080410571039216</v>
      </c>
      <c r="Y117" s="4">
        <f t="shared" si="5"/>
        <v>0.51872459495157131</v>
      </c>
      <c r="Z117" s="4">
        <v>0.30999900000000002</v>
      </c>
    </row>
    <row r="118" spans="1:26" x14ac:dyDescent="0.2">
      <c r="A118" t="s">
        <v>146</v>
      </c>
      <c r="B118">
        <v>151.89471435546901</v>
      </c>
      <c r="C118">
        <v>0</v>
      </c>
      <c r="D118">
        <v>152.98472595214801</v>
      </c>
      <c r="E118">
        <v>42.2990913391113</v>
      </c>
      <c r="F118">
        <v>6.2738060951232901</v>
      </c>
      <c r="G118">
        <v>66.859817504882798</v>
      </c>
      <c r="H118">
        <v>114.331916809082</v>
      </c>
      <c r="I118">
        <v>46.620323181152301</v>
      </c>
      <c r="J118">
        <v>6.1999998092651403</v>
      </c>
      <c r="K118">
        <v>19.6617107391357</v>
      </c>
      <c r="L118">
        <v>115</v>
      </c>
      <c r="M118">
        <v>0</v>
      </c>
      <c r="N118">
        <v>26.475244522094702</v>
      </c>
      <c r="O118">
        <v>50</v>
      </c>
      <c r="P118">
        <v>50.161678314208999</v>
      </c>
      <c r="Q118">
        <v>6.2738060951232901</v>
      </c>
      <c r="R118">
        <v>8.2308540344238299</v>
      </c>
      <c r="S118">
        <v>6.3999996185302699</v>
      </c>
      <c r="T118" s="4">
        <v>0.65970230102539096</v>
      </c>
      <c r="U118">
        <v>11.34</v>
      </c>
      <c r="V118">
        <v>9.4499999999999993</v>
      </c>
      <c r="W118">
        <f t="shared" si="3"/>
        <v>9.5681704425430336</v>
      </c>
      <c r="X118" s="4">
        <f t="shared" si="4"/>
        <v>0.11817044254303433</v>
      </c>
      <c r="Y118" s="4">
        <f t="shared" si="5"/>
        <v>0.38119620561045137</v>
      </c>
      <c r="Z118" s="4">
        <v>0.30999900000000002</v>
      </c>
    </row>
    <row r="119" spans="1:26" x14ac:dyDescent="0.2">
      <c r="A119" t="s">
        <v>147</v>
      </c>
      <c r="B119">
        <v>150.82133483886699</v>
      </c>
      <c r="C119">
        <v>0</v>
      </c>
      <c r="D119">
        <v>137.81573486328099</v>
      </c>
      <c r="E119">
        <v>42.496292114257798</v>
      </c>
      <c r="F119">
        <v>6.1870779991149902</v>
      </c>
      <c r="G119">
        <v>68.682861328125</v>
      </c>
      <c r="H119">
        <v>115.332794189453</v>
      </c>
      <c r="I119">
        <v>40.817428588867202</v>
      </c>
      <c r="J119">
        <v>6.1999998092651403</v>
      </c>
      <c r="K119">
        <v>17.5729789733887</v>
      </c>
      <c r="L119">
        <v>115</v>
      </c>
      <c r="M119">
        <v>0</v>
      </c>
      <c r="N119">
        <v>24.5217990875244</v>
      </c>
      <c r="O119">
        <v>50</v>
      </c>
      <c r="P119">
        <v>49.704906463623097</v>
      </c>
      <c r="Q119">
        <v>6.1870779991149902</v>
      </c>
      <c r="R119">
        <v>6.7079038619995099</v>
      </c>
      <c r="S119">
        <v>6.3999996185302699</v>
      </c>
      <c r="T119" s="4">
        <v>0.65970230102539096</v>
      </c>
      <c r="U119">
        <v>10.210000000000001</v>
      </c>
      <c r="V119">
        <v>9.34</v>
      </c>
      <c r="W119">
        <f t="shared" si="3"/>
        <v>9.5681704425430336</v>
      </c>
      <c r="X119" s="4">
        <f t="shared" si="4"/>
        <v>0.22817044254303376</v>
      </c>
      <c r="Y119" s="4">
        <f t="shared" si="5"/>
        <v>0.73603605993256027</v>
      </c>
      <c r="Z119" s="4">
        <v>0.30999900000000002</v>
      </c>
    </row>
    <row r="120" spans="1:26" x14ac:dyDescent="0.2">
      <c r="A120" t="s">
        <v>148</v>
      </c>
      <c r="B120">
        <v>150.85400390625</v>
      </c>
      <c r="C120">
        <v>0</v>
      </c>
      <c r="D120">
        <v>167.11135864257801</v>
      </c>
      <c r="E120">
        <v>41.648994445800803</v>
      </c>
      <c r="F120">
        <v>6.1544976234436</v>
      </c>
      <c r="G120">
        <v>69.843093872070298</v>
      </c>
      <c r="H120">
        <v>115.769691467285</v>
      </c>
      <c r="I120">
        <v>41.484954833984403</v>
      </c>
      <c r="J120">
        <v>6.1999998092651403</v>
      </c>
      <c r="K120">
        <v>19.404090881347699</v>
      </c>
      <c r="L120">
        <v>115</v>
      </c>
      <c r="M120">
        <v>0</v>
      </c>
      <c r="N120">
        <v>27.362506866455099</v>
      </c>
      <c r="O120">
        <v>50</v>
      </c>
      <c r="P120">
        <v>50.670783996582003</v>
      </c>
      <c r="Q120">
        <v>6.1544976234436</v>
      </c>
      <c r="R120">
        <v>6.4106960296630904</v>
      </c>
      <c r="S120">
        <v>6.3999996185302699</v>
      </c>
      <c r="T120" s="4">
        <v>0.65970230102539096</v>
      </c>
      <c r="U120">
        <v>10.84</v>
      </c>
      <c r="V120">
        <v>9.0399999999999991</v>
      </c>
      <c r="W120">
        <f t="shared" si="3"/>
        <v>9.5681704425430336</v>
      </c>
      <c r="X120" s="4">
        <f t="shared" si="4"/>
        <v>0.52817044254303447</v>
      </c>
      <c r="Y120" s="4">
        <f t="shared" si="5"/>
        <v>1.7037811171746826</v>
      </c>
      <c r="Z120" s="4">
        <v>0.30999900000000002</v>
      </c>
    </row>
    <row r="121" spans="1:26" x14ac:dyDescent="0.2">
      <c r="A121" t="s">
        <v>149</v>
      </c>
      <c r="B121">
        <v>149.01658630371099</v>
      </c>
      <c r="C121">
        <v>0</v>
      </c>
      <c r="D121">
        <v>120.140106201172</v>
      </c>
      <c r="E121">
        <v>41.483478546142599</v>
      </c>
      <c r="F121">
        <v>6.2701983451843297</v>
      </c>
      <c r="G121">
        <v>65.918640136718807</v>
      </c>
      <c r="H121">
        <v>113.923553466797</v>
      </c>
      <c r="I121">
        <v>36.710681915283203</v>
      </c>
      <c r="J121">
        <v>6.2999863624572798</v>
      </c>
      <c r="K121">
        <v>14.8716144561768</v>
      </c>
      <c r="L121">
        <v>112.015335083008</v>
      </c>
      <c r="M121">
        <v>0</v>
      </c>
      <c r="N121">
        <v>22.352296829223601</v>
      </c>
      <c r="O121">
        <v>50</v>
      </c>
      <c r="P121">
        <v>48.876007080078097</v>
      </c>
      <c r="Q121">
        <v>6.2701983451843297</v>
      </c>
      <c r="R121">
        <v>10.667443275451699</v>
      </c>
      <c r="S121">
        <v>6.4999866485595703</v>
      </c>
      <c r="T121" s="4">
        <v>0.662988722324371</v>
      </c>
      <c r="U121">
        <v>10.119999999999999</v>
      </c>
      <c r="V121">
        <v>9.26</v>
      </c>
      <c r="W121">
        <f t="shared" si="3"/>
        <v>9.6158359411865426</v>
      </c>
      <c r="X121" s="4">
        <f t="shared" si="4"/>
        <v>0.35583594118654283</v>
      </c>
      <c r="Y121" s="4">
        <f t="shared" si="5"/>
        <v>1.1478615775745817</v>
      </c>
      <c r="Z121" s="4">
        <v>0.30999900000000002</v>
      </c>
    </row>
    <row r="122" spans="1:26" x14ac:dyDescent="0.2">
      <c r="A122" t="s">
        <v>150</v>
      </c>
      <c r="B122">
        <v>148.62965393066401</v>
      </c>
      <c r="C122">
        <v>0</v>
      </c>
      <c r="D122">
        <v>128.45504760742199</v>
      </c>
      <c r="E122">
        <v>41.289215087890597</v>
      </c>
      <c r="F122">
        <v>6.31070852279663</v>
      </c>
      <c r="G122">
        <v>65.855995178222699</v>
      </c>
      <c r="H122">
        <v>112.04067230224599</v>
      </c>
      <c r="I122">
        <v>37.927604675292997</v>
      </c>
      <c r="J122">
        <v>6.2999863624572798</v>
      </c>
      <c r="K122">
        <v>16.4498691558838</v>
      </c>
      <c r="L122">
        <v>112.000411987305</v>
      </c>
      <c r="M122">
        <v>0</v>
      </c>
      <c r="N122">
        <v>25.132381439208999</v>
      </c>
      <c r="O122">
        <v>50</v>
      </c>
      <c r="P122">
        <v>50.126247406005902</v>
      </c>
      <c r="Q122">
        <v>6.31070852279663</v>
      </c>
      <c r="R122">
        <v>6.6966438293456996</v>
      </c>
      <c r="S122">
        <v>6.4999866485595703</v>
      </c>
      <c r="T122" s="4">
        <v>0.66912221908569303</v>
      </c>
      <c r="U122">
        <v>10.39</v>
      </c>
      <c r="V122">
        <v>9.51</v>
      </c>
      <c r="W122">
        <f t="shared" si="3"/>
        <v>9.7047947675085009</v>
      </c>
      <c r="X122" s="4">
        <f t="shared" si="4"/>
        <v>0.19479476750850111</v>
      </c>
      <c r="Y122" s="4">
        <f t="shared" si="5"/>
        <v>0.62837224477659959</v>
      </c>
      <c r="Z122" s="4">
        <v>0.30999900000000002</v>
      </c>
    </row>
    <row r="123" spans="1:26" x14ac:dyDescent="0.2">
      <c r="A123" t="s">
        <v>151</v>
      </c>
      <c r="B123">
        <v>148.41432189941401</v>
      </c>
      <c r="C123">
        <v>0</v>
      </c>
      <c r="D123">
        <v>151.28018188476599</v>
      </c>
      <c r="E123">
        <v>41.523124694824197</v>
      </c>
      <c r="F123">
        <v>6.3065376281738299</v>
      </c>
      <c r="G123">
        <v>64.364547729492202</v>
      </c>
      <c r="H123">
        <v>111.84478759765599</v>
      </c>
      <c r="I123">
        <v>38.596466064453097</v>
      </c>
      <c r="J123">
        <v>6.2999863624572798</v>
      </c>
      <c r="K123">
        <v>18.8735046386719</v>
      </c>
      <c r="L123">
        <v>112.000518798828</v>
      </c>
      <c r="M123">
        <v>28.864500045776399</v>
      </c>
      <c r="N123">
        <v>25.2801704406738</v>
      </c>
      <c r="O123">
        <v>50</v>
      </c>
      <c r="P123">
        <v>49.964088439941399</v>
      </c>
      <c r="Q123">
        <v>6.3065376281738299</v>
      </c>
      <c r="R123">
        <v>7.9008741378784197</v>
      </c>
      <c r="S123">
        <v>6.4999866485595703</v>
      </c>
      <c r="T123" s="4">
        <v>0.60321319103241</v>
      </c>
      <c r="U123">
        <v>9.15</v>
      </c>
      <c r="V123">
        <v>8.3699999999999992</v>
      </c>
      <c r="W123">
        <f t="shared" si="3"/>
        <v>8.7488653837001369</v>
      </c>
      <c r="X123" s="4">
        <f t="shared" si="4"/>
        <v>0.37886538370013767</v>
      </c>
      <c r="Y123" s="4">
        <f t="shared" si="5"/>
        <v>1.2221503414531583</v>
      </c>
      <c r="Z123" s="4">
        <v>0.30999900000000002</v>
      </c>
    </row>
    <row r="124" spans="1:26" x14ac:dyDescent="0.2">
      <c r="A124" t="s">
        <v>152</v>
      </c>
      <c r="B124">
        <v>155.39874267578099</v>
      </c>
      <c r="C124">
        <v>0</v>
      </c>
      <c r="D124">
        <v>124.00026702880901</v>
      </c>
      <c r="E124">
        <v>43.279167175292997</v>
      </c>
      <c r="F124">
        <v>6.4261832237243697</v>
      </c>
      <c r="G124">
        <v>67.92041015625</v>
      </c>
      <c r="H124">
        <v>116.846519470215</v>
      </c>
      <c r="I124">
        <v>0</v>
      </c>
      <c r="J124">
        <v>6.4173870086669904</v>
      </c>
      <c r="K124">
        <v>15.2143087387085</v>
      </c>
      <c r="L124">
        <v>118</v>
      </c>
      <c r="M124">
        <v>60.515701293945298</v>
      </c>
      <c r="N124">
        <v>19.574012756347699</v>
      </c>
      <c r="O124">
        <v>50</v>
      </c>
      <c r="P124">
        <v>50.429107666015597</v>
      </c>
      <c r="Q124">
        <v>6.4261832237243697</v>
      </c>
      <c r="R124">
        <v>1.26863837242126</v>
      </c>
      <c r="S124">
        <v>6.4000000953674299</v>
      </c>
      <c r="T124" s="4">
        <v>0.53290045261383101</v>
      </c>
      <c r="U124">
        <v>9.4160000000000004</v>
      </c>
      <c r="V124">
        <v>7.8929999999999998</v>
      </c>
      <c r="W124">
        <f t="shared" si="3"/>
        <v>7.7290655976069038</v>
      </c>
      <c r="X124" s="4">
        <f t="shared" si="4"/>
        <v>-0.16393440239309598</v>
      </c>
      <c r="Y124" s="4">
        <f t="shared" si="5"/>
        <v>-0.52882235875953132</v>
      </c>
      <c r="Z124" s="4">
        <v>0.30999900000000002</v>
      </c>
    </row>
    <row r="125" spans="1:26" x14ac:dyDescent="0.2">
      <c r="A125" t="s">
        <v>153</v>
      </c>
      <c r="B125">
        <v>156.51669311523401</v>
      </c>
      <c r="C125">
        <v>0</v>
      </c>
      <c r="D125">
        <v>126.30450439453099</v>
      </c>
      <c r="E125">
        <v>43.524486541748097</v>
      </c>
      <c r="F125">
        <v>6.3849301338195801</v>
      </c>
      <c r="G125">
        <v>69.656173706054702</v>
      </c>
      <c r="H125">
        <v>118.220420837402</v>
      </c>
      <c r="I125">
        <v>0</v>
      </c>
      <c r="J125">
        <v>6.3826026916503897</v>
      </c>
      <c r="K125">
        <v>15.473985671997101</v>
      </c>
      <c r="L125">
        <v>118</v>
      </c>
      <c r="M125">
        <v>58.661628723144503</v>
      </c>
      <c r="N125">
        <v>19.0754280090332</v>
      </c>
      <c r="O125">
        <v>50</v>
      </c>
      <c r="P125">
        <v>50.244186401367202</v>
      </c>
      <c r="Q125">
        <v>6.3849301338195801</v>
      </c>
      <c r="R125">
        <v>6.3990025520324698</v>
      </c>
      <c r="S125">
        <v>6.4000000953674299</v>
      </c>
      <c r="T125" s="4">
        <v>0.51565229892730702</v>
      </c>
      <c r="U125">
        <v>8.51</v>
      </c>
      <c r="V125">
        <v>7.78</v>
      </c>
      <c r="W125">
        <f t="shared" si="3"/>
        <v>7.4789023436129076</v>
      </c>
      <c r="X125" s="4">
        <f t="shared" si="4"/>
        <v>-0.30109765638709263</v>
      </c>
      <c r="Y125" s="4">
        <f t="shared" si="5"/>
        <v>-0.97128589571931712</v>
      </c>
      <c r="Z125" s="4">
        <v>0.30999900000000002</v>
      </c>
    </row>
    <row r="126" spans="1:26" x14ac:dyDescent="0.2">
      <c r="A126" t="s">
        <v>154</v>
      </c>
      <c r="B126">
        <v>156.242752075195</v>
      </c>
      <c r="C126">
        <v>0</v>
      </c>
      <c r="D126">
        <v>130.61460876464801</v>
      </c>
      <c r="E126">
        <v>43.018089294433601</v>
      </c>
      <c r="F126">
        <v>6.37634372711182</v>
      </c>
      <c r="G126">
        <v>68.334815979003906</v>
      </c>
      <c r="H126">
        <v>118.64054107666</v>
      </c>
      <c r="I126">
        <v>0</v>
      </c>
      <c r="J126">
        <v>6.3727149963378897</v>
      </c>
      <c r="K126">
        <v>16.1645317077637</v>
      </c>
      <c r="L126">
        <v>118</v>
      </c>
      <c r="M126">
        <v>54.457927703857401</v>
      </c>
      <c r="N126">
        <v>20.188291549682599</v>
      </c>
      <c r="O126">
        <v>50</v>
      </c>
      <c r="P126">
        <v>50.636730194091797</v>
      </c>
      <c r="Q126">
        <v>6.37634372711182</v>
      </c>
      <c r="R126">
        <v>4.02437543869019</v>
      </c>
      <c r="S126">
        <v>6.4000000953674299</v>
      </c>
      <c r="T126" s="4">
        <v>0.52061754465103205</v>
      </c>
      <c r="U126">
        <v>8.35</v>
      </c>
      <c r="V126">
        <v>7.64</v>
      </c>
      <c r="W126">
        <f t="shared" si="3"/>
        <v>7.5509171255832985</v>
      </c>
      <c r="X126" s="4">
        <f t="shared" si="4"/>
        <v>-8.9082874416701152E-2</v>
      </c>
      <c r="Y126" s="4">
        <f t="shared" si="5"/>
        <v>-0.28736503800561014</v>
      </c>
      <c r="Z126" s="4">
        <v>0.30999900000000002</v>
      </c>
    </row>
    <row r="127" spans="1:26" x14ac:dyDescent="0.2">
      <c r="A127" t="s">
        <v>155</v>
      </c>
      <c r="B127">
        <v>157.19825744628901</v>
      </c>
      <c r="C127">
        <v>0</v>
      </c>
      <c r="D127">
        <v>134.96878051757801</v>
      </c>
      <c r="E127">
        <v>42.1209907531738</v>
      </c>
      <c r="F127">
        <v>6.3994026184081996</v>
      </c>
      <c r="G127">
        <v>68.354598999023395</v>
      </c>
      <c r="H127">
        <v>117.438529968262</v>
      </c>
      <c r="I127">
        <v>0</v>
      </c>
      <c r="J127">
        <v>6.4038019180297896</v>
      </c>
      <c r="K127">
        <v>17.894868850708001</v>
      </c>
      <c r="L127">
        <v>118</v>
      </c>
      <c r="M127">
        <v>61.873928070068402</v>
      </c>
      <c r="N127">
        <v>19.065252304077202</v>
      </c>
      <c r="O127">
        <v>50</v>
      </c>
      <c r="P127">
        <v>50.0210571289063</v>
      </c>
      <c r="Q127">
        <v>6.3994026184081996</v>
      </c>
      <c r="R127">
        <v>4.7795166969299299</v>
      </c>
      <c r="S127">
        <v>6.4000000953674299</v>
      </c>
      <c r="T127" s="4">
        <v>0.50143504142761197</v>
      </c>
      <c r="W127">
        <f t="shared" si="3"/>
        <v>7.2726985108065554</v>
      </c>
      <c r="X127" s="4">
        <f t="shared" si="4"/>
        <v>7.2726985108065554</v>
      </c>
      <c r="Y127" s="4">
        <f t="shared" si="5"/>
        <v>23.460393455483903</v>
      </c>
      <c r="Z127" s="4">
        <v>0.30999900000000002</v>
      </c>
    </row>
    <row r="128" spans="1:26" x14ac:dyDescent="0.2">
      <c r="A128" t="s">
        <v>156</v>
      </c>
      <c r="B128">
        <v>157.18527221679699</v>
      </c>
      <c r="C128">
        <v>0</v>
      </c>
      <c r="D128">
        <v>126.786247253418</v>
      </c>
      <c r="E128">
        <v>43.0426025390625</v>
      </c>
      <c r="F128">
        <v>6.3985886573791504</v>
      </c>
      <c r="G128">
        <v>66.922836303710895</v>
      </c>
      <c r="H128">
        <v>116.34152984619099</v>
      </c>
      <c r="I128">
        <v>0</v>
      </c>
      <c r="J128">
        <v>6.4010257720947301</v>
      </c>
      <c r="K128">
        <v>17.4670314788818</v>
      </c>
      <c r="L128">
        <v>118</v>
      </c>
      <c r="M128">
        <v>61.545585632324197</v>
      </c>
      <c r="N128">
        <v>19.220239639282202</v>
      </c>
      <c r="O128">
        <v>50</v>
      </c>
      <c r="P128">
        <v>50.283046722412102</v>
      </c>
      <c r="Q128">
        <v>6.3985886573791504</v>
      </c>
      <c r="R128">
        <v>6.49436759948731</v>
      </c>
      <c r="S128">
        <v>6.4000000953674299</v>
      </c>
      <c r="T128" s="4">
        <v>0.50391781330108598</v>
      </c>
      <c r="U128">
        <v>9.25</v>
      </c>
      <c r="V128">
        <v>8.4600000000000009</v>
      </c>
      <c r="W128">
        <f t="shared" si="3"/>
        <v>7.3087080630218919</v>
      </c>
      <c r="X128" s="4">
        <f t="shared" si="4"/>
        <v>-1.1512919369781089</v>
      </c>
      <c r="Y128" s="4">
        <f t="shared" si="5"/>
        <v>-3.713856938177571</v>
      </c>
      <c r="Z128" s="4">
        <v>0.30999900000000002</v>
      </c>
    </row>
    <row r="129" spans="1:26" x14ac:dyDescent="0.2">
      <c r="A129" t="s">
        <v>157</v>
      </c>
      <c r="B129">
        <v>156.73965454101599</v>
      </c>
      <c r="C129">
        <v>0</v>
      </c>
      <c r="D129">
        <v>134.75692749023401</v>
      </c>
      <c r="E129">
        <v>44.037269592285199</v>
      </c>
      <c r="F129">
        <v>6.58386135101318</v>
      </c>
      <c r="G129">
        <v>69.218269348144503</v>
      </c>
      <c r="H129">
        <v>119.064163208008</v>
      </c>
      <c r="I129">
        <v>26.482154846191399</v>
      </c>
      <c r="J129">
        <v>6.4000000953674299</v>
      </c>
      <c r="K129">
        <v>16.556962966918899</v>
      </c>
      <c r="L129">
        <v>118</v>
      </c>
      <c r="M129">
        <v>47.759651184082003</v>
      </c>
      <c r="N129">
        <v>18.280656814575199</v>
      </c>
      <c r="O129">
        <v>50</v>
      </c>
      <c r="P129">
        <v>49.5291557312012</v>
      </c>
      <c r="Q129">
        <v>6.58386135101318</v>
      </c>
      <c r="R129">
        <v>2.96681880950928</v>
      </c>
      <c r="S129">
        <v>6.5999999046325701</v>
      </c>
      <c r="T129" s="4">
        <v>0.538518846035004</v>
      </c>
      <c r="U129">
        <v>8.56</v>
      </c>
      <c r="V129">
        <v>7.99</v>
      </c>
      <c r="W129">
        <f t="shared" si="3"/>
        <v>7.8105534835571095</v>
      </c>
      <c r="X129" s="4">
        <f t="shared" si="4"/>
        <v>-0.17944651644289067</v>
      </c>
      <c r="Y129" s="4">
        <f t="shared" si="5"/>
        <v>-0.57886159775641421</v>
      </c>
      <c r="Z129" s="4">
        <v>0.30999900000000002</v>
      </c>
    </row>
    <row r="130" spans="1:26" x14ac:dyDescent="0.2">
      <c r="A130" t="s">
        <v>158</v>
      </c>
      <c r="B130">
        <v>155.33172607421901</v>
      </c>
      <c r="C130">
        <v>0</v>
      </c>
      <c r="D130">
        <v>129.08799743652301</v>
      </c>
      <c r="E130">
        <v>41.585140228271499</v>
      </c>
      <c r="F130">
        <v>6.3809790611267099</v>
      </c>
      <c r="G130">
        <v>68.544303894042997</v>
      </c>
      <c r="H130">
        <v>118.144882202148</v>
      </c>
      <c r="I130">
        <v>100</v>
      </c>
      <c r="J130">
        <v>6.1789884567260698</v>
      </c>
      <c r="K130">
        <v>17.287843704223601</v>
      </c>
      <c r="L130">
        <v>118</v>
      </c>
      <c r="M130">
        <v>63.923149108886697</v>
      </c>
      <c r="N130">
        <v>23.350467681884801</v>
      </c>
      <c r="O130">
        <v>50</v>
      </c>
      <c r="P130">
        <v>50.030559539794901</v>
      </c>
      <c r="Q130">
        <v>6.3809790611267099</v>
      </c>
      <c r="R130">
        <v>4.5460085868835503</v>
      </c>
      <c r="S130">
        <v>6.37898826599121</v>
      </c>
      <c r="T130" s="4">
        <v>0.52452296018600497</v>
      </c>
      <c r="U130">
        <v>8.75</v>
      </c>
      <c r="V130">
        <v>8.09</v>
      </c>
      <c r="W130">
        <f t="shared" si="3"/>
        <v>7.6075603742569733</v>
      </c>
      <c r="X130" s="4">
        <f t="shared" si="4"/>
        <v>-0.48243962574302657</v>
      </c>
      <c r="Y130" s="4">
        <f t="shared" si="5"/>
        <v>-1.5562618774351742</v>
      </c>
      <c r="Z130" s="4">
        <v>0.30999900000000002</v>
      </c>
    </row>
    <row r="131" spans="1:26" x14ac:dyDescent="0.2">
      <c r="A131" t="s">
        <v>159</v>
      </c>
      <c r="B131">
        <v>151.72441101074199</v>
      </c>
      <c r="C131">
        <v>0</v>
      </c>
      <c r="D131">
        <v>117.04580688476599</v>
      </c>
      <c r="E131">
        <v>44.0789604187012</v>
      </c>
      <c r="F131">
        <v>6.2038316726684597</v>
      </c>
      <c r="G131">
        <v>68.529518127441406</v>
      </c>
      <c r="H131">
        <v>114.53199005127</v>
      </c>
      <c r="I131">
        <v>35.756931304931598</v>
      </c>
      <c r="J131">
        <v>6.2948980331420898</v>
      </c>
      <c r="K131">
        <v>14.842836380004901</v>
      </c>
      <c r="L131">
        <v>113.52938079834</v>
      </c>
      <c r="M131">
        <v>0</v>
      </c>
      <c r="N131">
        <v>24.4128742218018</v>
      </c>
      <c r="O131">
        <v>50</v>
      </c>
      <c r="P131">
        <v>49.896934509277301</v>
      </c>
      <c r="Q131">
        <v>6.2038316726684597</v>
      </c>
      <c r="R131">
        <v>7.52913570404053</v>
      </c>
      <c r="S131">
        <v>6.4948978424072301</v>
      </c>
      <c r="T131" s="4">
        <v>0.648318290710449</v>
      </c>
      <c r="U131">
        <v>8.7799999999999994</v>
      </c>
      <c r="V131">
        <v>8.0299999999999994</v>
      </c>
      <c r="W131">
        <f t="shared" si="3"/>
        <v>9.403059375257488</v>
      </c>
      <c r="X131" s="4">
        <f t="shared" si="4"/>
        <v>1.3730593752574887</v>
      </c>
      <c r="Y131" s="4">
        <f t="shared" si="5"/>
        <v>4.42923807901796</v>
      </c>
      <c r="Z131" s="4">
        <v>0.30999900000000002</v>
      </c>
    </row>
    <row r="132" spans="1:26" x14ac:dyDescent="0.2">
      <c r="A132" t="s">
        <v>160</v>
      </c>
      <c r="B132">
        <v>148.80184936523401</v>
      </c>
      <c r="C132">
        <v>0</v>
      </c>
      <c r="D132">
        <v>118.10516357421901</v>
      </c>
      <c r="E132">
        <v>42.567878723144503</v>
      </c>
      <c r="F132">
        <v>6.2661581039428702</v>
      </c>
      <c r="G132">
        <v>64.903572082519503</v>
      </c>
      <c r="H132">
        <v>112.70533752441401</v>
      </c>
      <c r="I132">
        <v>36.762691497802699</v>
      </c>
      <c r="J132">
        <v>6.2999901771545401</v>
      </c>
      <c r="K132">
        <v>15.7440538406372</v>
      </c>
      <c r="L132">
        <v>112.138916015625</v>
      </c>
      <c r="M132">
        <v>0</v>
      </c>
      <c r="N132">
        <v>25.958835601806602</v>
      </c>
      <c r="O132">
        <v>50</v>
      </c>
      <c r="P132">
        <v>50.224403381347699</v>
      </c>
      <c r="Q132">
        <v>6.2661581039428702</v>
      </c>
      <c r="R132">
        <v>6.1742639541626003</v>
      </c>
      <c r="S132">
        <v>6.4999909400939897</v>
      </c>
      <c r="T132" s="4">
        <v>0.62632429599761996</v>
      </c>
      <c r="U132">
        <v>9.33</v>
      </c>
      <c r="V132">
        <v>8.5299999999999994</v>
      </c>
      <c r="W132">
        <f t="shared" si="3"/>
        <v>9.0840635345614</v>
      </c>
      <c r="X132" s="4">
        <f t="shared" si="4"/>
        <v>0.55406353456140067</v>
      </c>
      <c r="Y132" s="4">
        <f t="shared" si="5"/>
        <v>1.7873074898996468</v>
      </c>
      <c r="Z132" s="4">
        <v>0.30999900000000002</v>
      </c>
    </row>
    <row r="133" spans="1:26" x14ac:dyDescent="0.2">
      <c r="A133" t="s">
        <v>161</v>
      </c>
      <c r="B133">
        <v>149.29080200195301</v>
      </c>
      <c r="C133">
        <v>0</v>
      </c>
      <c r="D133">
        <v>125.433349609375</v>
      </c>
      <c r="E133">
        <v>43.140113830566399</v>
      </c>
      <c r="F133">
        <v>6.2771415710449201</v>
      </c>
      <c r="G133">
        <v>69.367576599121094</v>
      </c>
      <c r="H133">
        <v>112.688285827637</v>
      </c>
      <c r="I133">
        <v>37.3743896484375</v>
      </c>
      <c r="J133">
        <v>6.2999949455261204</v>
      </c>
      <c r="K133">
        <v>16.608850479126001</v>
      </c>
      <c r="L133">
        <v>112.000122070313</v>
      </c>
      <c r="M133">
        <v>0</v>
      </c>
      <c r="N133">
        <v>24.690147399902301</v>
      </c>
      <c r="O133">
        <v>50</v>
      </c>
      <c r="P133">
        <v>49.625450134277301</v>
      </c>
      <c r="Q133">
        <v>6.2771415710449201</v>
      </c>
      <c r="R133">
        <v>11.230175971984901</v>
      </c>
      <c r="S133">
        <v>6.4999952316284197</v>
      </c>
      <c r="T133" s="4">
        <v>0.65161597728729304</v>
      </c>
      <c r="U133">
        <v>10.51</v>
      </c>
      <c r="V133">
        <v>9.6199999999999992</v>
      </c>
      <c r="W133">
        <f t="shared" si="3"/>
        <v>9.4508882629001221</v>
      </c>
      <c r="X133" s="4">
        <f t="shared" si="4"/>
        <v>-0.16911173709987715</v>
      </c>
      <c r="Y133" s="4">
        <f t="shared" si="5"/>
        <v>-0.54552349233344988</v>
      </c>
      <c r="Z133" s="4">
        <v>0.30999900000000002</v>
      </c>
    </row>
    <row r="134" spans="1:26" x14ac:dyDescent="0.2">
      <c r="A134" t="s">
        <v>162</v>
      </c>
      <c r="B134">
        <v>148.58717346191401</v>
      </c>
      <c r="C134">
        <v>0</v>
      </c>
      <c r="D134">
        <v>119.667366027832</v>
      </c>
      <c r="E134">
        <v>42.698947906494098</v>
      </c>
      <c r="F134">
        <v>6.2690405845642099</v>
      </c>
      <c r="G134">
        <v>66.078948974609403</v>
      </c>
      <c r="H134">
        <v>112.381462097168</v>
      </c>
      <c r="I134">
        <v>36.489795684814503</v>
      </c>
      <c r="J134">
        <v>6.2999949455261204</v>
      </c>
      <c r="K134">
        <v>15.9840450286865</v>
      </c>
      <c r="L134">
        <v>112.000030517578</v>
      </c>
      <c r="M134">
        <v>0</v>
      </c>
      <c r="N134">
        <v>24.814954757690401</v>
      </c>
      <c r="O134">
        <v>50</v>
      </c>
      <c r="P134">
        <v>50.020828247070298</v>
      </c>
      <c r="Q134">
        <v>6.2690405845642099</v>
      </c>
      <c r="R134">
        <v>10.1949815750122</v>
      </c>
      <c r="S134">
        <v>6.4999952316284197</v>
      </c>
      <c r="T134" s="4">
        <v>0.63663464784622203</v>
      </c>
      <c r="U134">
        <v>9.8800000000000008</v>
      </c>
      <c r="V134">
        <v>9.07</v>
      </c>
      <c r="W134">
        <f t="shared" ref="W134:W197" si="6">T134*14.50377</f>
        <v>9.2336025063926002</v>
      </c>
      <c r="X134" s="4">
        <f t="shared" ref="X134:X197" si="7">+W134-V134</f>
        <v>0.16360250639259988</v>
      </c>
      <c r="Y134" s="4">
        <f t="shared" ref="Y134:Y197" si="8">+X134/Z134</f>
        <v>0.52775172304620299</v>
      </c>
      <c r="Z134" s="4">
        <v>0.30999900000000002</v>
      </c>
    </row>
    <row r="135" spans="1:26" x14ac:dyDescent="0.2">
      <c r="A135" t="s">
        <v>163</v>
      </c>
      <c r="B135">
        <v>148.42549133300801</v>
      </c>
      <c r="C135">
        <v>0</v>
      </c>
      <c r="D135">
        <v>124.14151763916</v>
      </c>
      <c r="E135">
        <v>42.664493560791001</v>
      </c>
      <c r="F135">
        <v>6.3191552162170401</v>
      </c>
      <c r="G135">
        <v>65.321571350097699</v>
      </c>
      <c r="H135">
        <v>113.319961547852</v>
      </c>
      <c r="I135">
        <v>37.947074890136697</v>
      </c>
      <c r="J135">
        <v>6.2999949455261204</v>
      </c>
      <c r="K135">
        <v>15.9205732345581</v>
      </c>
      <c r="L135">
        <v>112.00210571289099</v>
      </c>
      <c r="M135">
        <v>0</v>
      </c>
      <c r="N135">
        <v>23.3114528656006</v>
      </c>
      <c r="O135">
        <v>50</v>
      </c>
      <c r="P135">
        <v>48.979324340820298</v>
      </c>
      <c r="Q135">
        <v>6.3191552162170401</v>
      </c>
      <c r="R135">
        <v>8.3614044189453107</v>
      </c>
      <c r="S135">
        <v>6.4999952316284197</v>
      </c>
      <c r="T135" s="4">
        <v>0.62943923473358199</v>
      </c>
      <c r="U135">
        <v>10.119999999999999</v>
      </c>
      <c r="V135">
        <v>9.26</v>
      </c>
      <c r="W135">
        <f t="shared" si="6"/>
        <v>9.1292418895518832</v>
      </c>
      <c r="X135" s="4">
        <f t="shared" si="7"/>
        <v>-0.13075811044811658</v>
      </c>
      <c r="Y135" s="4">
        <f t="shared" si="8"/>
        <v>-0.42180171693494678</v>
      </c>
      <c r="Z135" s="4">
        <v>0.30999900000000002</v>
      </c>
    </row>
    <row r="136" spans="1:26" x14ac:dyDescent="0.2">
      <c r="A136" t="s">
        <v>164</v>
      </c>
      <c r="B136">
        <v>149.02713012695301</v>
      </c>
      <c r="C136">
        <v>0</v>
      </c>
      <c r="D136">
        <v>118.33168792724599</v>
      </c>
      <c r="E136">
        <v>43.942146301269503</v>
      </c>
      <c r="F136">
        <v>6.2851433753967303</v>
      </c>
      <c r="G136">
        <v>67.501815795898395</v>
      </c>
      <c r="H136">
        <v>113.13348388671901</v>
      </c>
      <c r="I136">
        <v>35.5279731750488</v>
      </c>
      <c r="J136">
        <v>6.2999949455261204</v>
      </c>
      <c r="K136">
        <v>15.0459604263306</v>
      </c>
      <c r="L136">
        <v>112.00009918212901</v>
      </c>
      <c r="M136">
        <v>0</v>
      </c>
      <c r="N136">
        <v>22.935024261474599</v>
      </c>
      <c r="O136">
        <v>50</v>
      </c>
      <c r="P136">
        <v>49.047866821289098</v>
      </c>
      <c r="Q136">
        <v>6.2851433753967303</v>
      </c>
      <c r="R136">
        <v>3.7053763866424601</v>
      </c>
      <c r="S136">
        <v>6.4999952316284197</v>
      </c>
      <c r="T136" s="4">
        <v>0.653794765472412</v>
      </c>
      <c r="U136">
        <v>10.52</v>
      </c>
      <c r="V136">
        <v>9.6300000000000008</v>
      </c>
      <c r="W136">
        <f t="shared" si="6"/>
        <v>9.4824889056158046</v>
      </c>
      <c r="X136" s="4">
        <f t="shared" si="7"/>
        <v>-0.14751109438419618</v>
      </c>
      <c r="Y136" s="4">
        <f t="shared" si="8"/>
        <v>-0.47584377492893903</v>
      </c>
      <c r="Z136" s="4">
        <v>0.30999900000000002</v>
      </c>
    </row>
    <row r="137" spans="1:26" x14ac:dyDescent="0.2">
      <c r="A137" t="s">
        <v>165</v>
      </c>
      <c r="B137">
        <v>151.549392700195</v>
      </c>
      <c r="C137">
        <v>0</v>
      </c>
      <c r="D137">
        <v>102.567512512207</v>
      </c>
      <c r="E137">
        <v>46.904254913330099</v>
      </c>
      <c r="F137">
        <v>6.2201561927795401</v>
      </c>
      <c r="G137">
        <v>72.105880737304702</v>
      </c>
      <c r="H137">
        <v>117.09210968017599</v>
      </c>
      <c r="I137">
        <v>31.257688522338899</v>
      </c>
      <c r="J137">
        <v>6.1999998092651403</v>
      </c>
      <c r="K137">
        <v>12.501203536987299</v>
      </c>
      <c r="L137">
        <v>115.113525390625</v>
      </c>
      <c r="M137">
        <v>0</v>
      </c>
      <c r="N137">
        <v>18.720869064331101</v>
      </c>
      <c r="O137">
        <v>50</v>
      </c>
      <c r="P137">
        <v>49.1986274719238</v>
      </c>
      <c r="Q137">
        <v>6.2201561927795401</v>
      </c>
      <c r="R137">
        <v>5.5199871063232404</v>
      </c>
      <c r="S137">
        <v>6.3999996185302699</v>
      </c>
      <c r="T137" s="4">
        <v>0.61385923624038696</v>
      </c>
      <c r="U137">
        <v>10.58</v>
      </c>
      <c r="V137">
        <v>8.82</v>
      </c>
      <c r="W137">
        <f t="shared" si="6"/>
        <v>8.9032731748062375</v>
      </c>
      <c r="X137" s="4">
        <f t="shared" si="7"/>
        <v>8.3273174806237193E-2</v>
      </c>
      <c r="Y137" s="4">
        <f t="shared" si="8"/>
        <v>0.26862401106531697</v>
      </c>
      <c r="Z137" s="4">
        <v>0.30999900000000002</v>
      </c>
    </row>
    <row r="138" spans="1:26" x14ac:dyDescent="0.2">
      <c r="A138" t="s">
        <v>166</v>
      </c>
      <c r="B138">
        <v>153.83843994140599</v>
      </c>
      <c r="C138">
        <v>0</v>
      </c>
      <c r="D138">
        <v>148.74575805664099</v>
      </c>
      <c r="E138">
        <v>43.762928009033203</v>
      </c>
      <c r="F138">
        <v>6.2128467559814498</v>
      </c>
      <c r="G138">
        <v>68.797714233398395</v>
      </c>
      <c r="H138">
        <v>118.80696105957</v>
      </c>
      <c r="I138">
        <v>41.023574829101598</v>
      </c>
      <c r="J138">
        <v>6.1999998092651403</v>
      </c>
      <c r="K138">
        <v>18.7243747711182</v>
      </c>
      <c r="L138">
        <v>118</v>
      </c>
      <c r="M138">
        <v>0</v>
      </c>
      <c r="N138">
        <v>25.181827545166001</v>
      </c>
      <c r="O138">
        <v>50</v>
      </c>
      <c r="P138">
        <v>50.136756896972699</v>
      </c>
      <c r="Q138">
        <v>6.2128467559814498</v>
      </c>
      <c r="R138">
        <v>7.90590572357178</v>
      </c>
      <c r="S138">
        <v>6.3999996185302699</v>
      </c>
      <c r="T138" s="4">
        <v>0.60071760416030895</v>
      </c>
      <c r="U138">
        <v>9.58</v>
      </c>
      <c r="V138">
        <v>8.77</v>
      </c>
      <c r="W138">
        <f t="shared" si="6"/>
        <v>8.7126699656921645</v>
      </c>
      <c r="X138" s="4">
        <f t="shared" si="7"/>
        <v>-5.733003430783512E-2</v>
      </c>
      <c r="Y138" s="4">
        <f t="shared" si="8"/>
        <v>-0.184936191109762</v>
      </c>
      <c r="Z138" s="4">
        <v>0.30999900000000002</v>
      </c>
    </row>
    <row r="139" spans="1:26" x14ac:dyDescent="0.2">
      <c r="A139" t="s">
        <v>167</v>
      </c>
      <c r="B139">
        <v>155.03044128418</v>
      </c>
      <c r="C139">
        <v>0</v>
      </c>
      <c r="D139">
        <v>161.29945373535199</v>
      </c>
      <c r="E139">
        <v>44.802864074707003</v>
      </c>
      <c r="F139">
        <v>6.0843405723571804</v>
      </c>
      <c r="G139">
        <v>71.795448303222699</v>
      </c>
      <c r="H139">
        <v>122.34324645996099</v>
      </c>
      <c r="I139">
        <v>43.151203155517599</v>
      </c>
      <c r="J139">
        <v>6.0999999046325701</v>
      </c>
      <c r="K139">
        <v>19.609209060668899</v>
      </c>
      <c r="L139">
        <v>120</v>
      </c>
      <c r="M139">
        <v>0</v>
      </c>
      <c r="N139">
        <v>25.869735717773398</v>
      </c>
      <c r="O139">
        <v>50</v>
      </c>
      <c r="P139">
        <v>49.777782440185597</v>
      </c>
      <c r="Q139">
        <v>6.0843405723571804</v>
      </c>
      <c r="R139">
        <v>9.8499889373779297</v>
      </c>
      <c r="S139">
        <v>6.2999992370605504</v>
      </c>
      <c r="T139" s="4">
        <v>0.56511211395263705</v>
      </c>
      <c r="U139">
        <v>9.6</v>
      </c>
      <c r="V139">
        <v>8.7799999999999994</v>
      </c>
      <c r="W139">
        <f t="shared" si="6"/>
        <v>8.1962561249828383</v>
      </c>
      <c r="X139" s="4">
        <f t="shared" si="7"/>
        <v>-0.58374387501716107</v>
      </c>
      <c r="Y139" s="4">
        <f t="shared" si="8"/>
        <v>-1.8830508324773985</v>
      </c>
      <c r="Z139" s="4">
        <v>0.30999900000000002</v>
      </c>
    </row>
    <row r="140" spans="1:26" x14ac:dyDescent="0.2">
      <c r="A140" t="s">
        <v>168</v>
      </c>
      <c r="B140">
        <v>154.25749206543</v>
      </c>
      <c r="C140">
        <v>0</v>
      </c>
      <c r="D140">
        <v>159.34342956543</v>
      </c>
      <c r="E140">
        <v>44.355941772460902</v>
      </c>
      <c r="F140">
        <v>6.0511503219604501</v>
      </c>
      <c r="G140">
        <v>70.303474426269503</v>
      </c>
      <c r="H140">
        <v>120.13833618164099</v>
      </c>
      <c r="I140">
        <v>39.450489044189503</v>
      </c>
      <c r="J140">
        <v>6.0999999046325701</v>
      </c>
      <c r="K140">
        <v>19.485157012939499</v>
      </c>
      <c r="L140">
        <v>120</v>
      </c>
      <c r="M140">
        <v>0</v>
      </c>
      <c r="N140">
        <v>23.061611175537099</v>
      </c>
      <c r="O140">
        <v>50</v>
      </c>
      <c r="P140">
        <v>49.5455513000488</v>
      </c>
      <c r="Q140">
        <v>6.0511503219604501</v>
      </c>
      <c r="R140">
        <v>5.52323246002197</v>
      </c>
      <c r="S140">
        <v>6.2999992370605504</v>
      </c>
      <c r="T140" s="4">
        <v>0.58489227294921897</v>
      </c>
      <c r="U140">
        <v>9.01</v>
      </c>
      <c r="V140">
        <v>8.24</v>
      </c>
      <c r="W140">
        <f t="shared" si="6"/>
        <v>8.4831430016326941</v>
      </c>
      <c r="X140" s="4">
        <f t="shared" si="7"/>
        <v>0.24314300163269387</v>
      </c>
      <c r="Y140" s="4">
        <f t="shared" si="8"/>
        <v>0.78433479344350743</v>
      </c>
      <c r="Z140" s="4">
        <v>0.30999900000000002</v>
      </c>
    </row>
    <row r="141" spans="1:26" x14ac:dyDescent="0.2">
      <c r="A141" t="s">
        <v>169</v>
      </c>
      <c r="B141">
        <v>155.53651428222699</v>
      </c>
      <c r="C141">
        <v>0</v>
      </c>
      <c r="D141">
        <v>184.30526733398401</v>
      </c>
      <c r="E141">
        <v>44.378063201904297</v>
      </c>
      <c r="F141">
        <v>6.19781589508057</v>
      </c>
      <c r="G141">
        <v>67.804290771484403</v>
      </c>
      <c r="H141">
        <v>117.73708343505901</v>
      </c>
      <c r="I141">
        <v>46.262985229492202</v>
      </c>
      <c r="J141">
        <v>6.0999999046325701</v>
      </c>
      <c r="K141">
        <v>22.2297267913818</v>
      </c>
      <c r="L141">
        <v>120</v>
      </c>
      <c r="M141">
        <v>0</v>
      </c>
      <c r="N141">
        <v>24.674644470214801</v>
      </c>
      <c r="O141">
        <v>50</v>
      </c>
      <c r="P141">
        <v>49.924686431884801</v>
      </c>
      <c r="Q141">
        <v>6.19781589508057</v>
      </c>
      <c r="R141">
        <v>8.3406953811645508</v>
      </c>
      <c r="S141">
        <v>6.2999992370605504</v>
      </c>
      <c r="T141" s="4">
        <v>0.57636386156082198</v>
      </c>
      <c r="U141">
        <v>9.17</v>
      </c>
      <c r="V141">
        <v>8.39</v>
      </c>
      <c r="W141">
        <f t="shared" si="6"/>
        <v>8.3594488843900034</v>
      </c>
      <c r="X141" s="4">
        <f t="shared" si="7"/>
        <v>-3.0551115609997126E-2</v>
      </c>
      <c r="Y141" s="4">
        <f t="shared" si="8"/>
        <v>-9.8552303749357653E-2</v>
      </c>
      <c r="Z141" s="4">
        <v>0.30999900000000002</v>
      </c>
    </row>
    <row r="142" spans="1:26" x14ac:dyDescent="0.2">
      <c r="A142" t="s">
        <v>170</v>
      </c>
      <c r="B142">
        <v>154.80783081054699</v>
      </c>
      <c r="C142">
        <v>0</v>
      </c>
      <c r="D142">
        <v>168.966720581055</v>
      </c>
      <c r="E142">
        <v>44.984733581542997</v>
      </c>
      <c r="F142">
        <v>6.0419507026672399</v>
      </c>
      <c r="G142">
        <v>72.225891113281307</v>
      </c>
      <c r="H142">
        <v>120.608207702637</v>
      </c>
      <c r="I142">
        <v>40.855583190917997</v>
      </c>
      <c r="J142">
        <v>6.0999999046325701</v>
      </c>
      <c r="K142">
        <v>20.850275039672901</v>
      </c>
      <c r="L142">
        <v>120</v>
      </c>
      <c r="M142">
        <v>0</v>
      </c>
      <c r="N142">
        <v>24.854356765747099</v>
      </c>
      <c r="O142">
        <v>50</v>
      </c>
      <c r="P142">
        <v>49.777957916259801</v>
      </c>
      <c r="Q142">
        <v>6.0419507026672399</v>
      </c>
      <c r="R142">
        <v>6.0305414199829102</v>
      </c>
      <c r="S142">
        <v>6.2999992370605504</v>
      </c>
      <c r="T142" s="4">
        <v>0.56447613239288297</v>
      </c>
      <c r="U142">
        <v>9.32</v>
      </c>
      <c r="V142">
        <v>8.5299999999999994</v>
      </c>
      <c r="W142">
        <f t="shared" si="6"/>
        <v>8.1870319947159231</v>
      </c>
      <c r="X142" s="4">
        <f t="shared" si="7"/>
        <v>-0.34296800528407623</v>
      </c>
      <c r="Y142" s="4">
        <f t="shared" si="8"/>
        <v>-1.1063519730195137</v>
      </c>
      <c r="Z142" s="4">
        <v>0.30999900000000002</v>
      </c>
    </row>
    <row r="143" spans="1:26" x14ac:dyDescent="0.2">
      <c r="A143" t="s">
        <v>170</v>
      </c>
      <c r="B143">
        <v>154.80783081054699</v>
      </c>
      <c r="C143">
        <v>0</v>
      </c>
      <c r="D143">
        <v>168.966720581055</v>
      </c>
      <c r="E143">
        <v>44.984733581542997</v>
      </c>
      <c r="F143">
        <v>6.0419507026672399</v>
      </c>
      <c r="G143">
        <v>72.225891113281307</v>
      </c>
      <c r="H143">
        <v>120.608207702637</v>
      </c>
      <c r="I143">
        <v>40.855583190917997</v>
      </c>
      <c r="J143">
        <v>6.0999999046325701</v>
      </c>
      <c r="K143">
        <v>20.850275039672901</v>
      </c>
      <c r="L143">
        <v>120</v>
      </c>
      <c r="M143">
        <v>0</v>
      </c>
      <c r="N143">
        <v>24.854356765747099</v>
      </c>
      <c r="O143">
        <v>50</v>
      </c>
      <c r="P143">
        <v>49.777957916259801</v>
      </c>
      <c r="Q143">
        <v>6.0419507026672399</v>
      </c>
      <c r="R143">
        <v>6.0305414199829102</v>
      </c>
      <c r="S143">
        <v>6.2999992370605504</v>
      </c>
      <c r="T143" s="4">
        <v>0.56447613239288297</v>
      </c>
      <c r="U143">
        <v>9.19</v>
      </c>
      <c r="V143">
        <v>8.4</v>
      </c>
      <c r="W143">
        <f t="shared" si="6"/>
        <v>8.1870319947159231</v>
      </c>
      <c r="X143" s="4">
        <f t="shared" si="7"/>
        <v>-0.21296800528407722</v>
      </c>
      <c r="Y143" s="4">
        <f t="shared" si="8"/>
        <v>-0.68699578154793151</v>
      </c>
      <c r="Z143" s="4">
        <v>0.30999900000000002</v>
      </c>
    </row>
    <row r="144" spans="1:26" x14ac:dyDescent="0.2">
      <c r="A144" t="s">
        <v>171</v>
      </c>
      <c r="B144">
        <v>156.44464111328099</v>
      </c>
      <c r="C144">
        <v>0</v>
      </c>
      <c r="D144">
        <v>194.625732421875</v>
      </c>
      <c r="E144">
        <v>45.500881195068402</v>
      </c>
      <c r="F144">
        <v>5.8978395462036097</v>
      </c>
      <c r="G144">
        <v>73.328742980957003</v>
      </c>
      <c r="H144">
        <v>123.799476623535</v>
      </c>
      <c r="I144">
        <v>45.726593017578097</v>
      </c>
      <c r="J144">
        <v>6</v>
      </c>
      <c r="K144">
        <v>24.5455207824707</v>
      </c>
      <c r="L144">
        <v>122</v>
      </c>
      <c r="M144">
        <v>0.26166507601737998</v>
      </c>
      <c r="N144">
        <v>27.7606410980225</v>
      </c>
      <c r="O144">
        <v>50</v>
      </c>
      <c r="P144">
        <v>51.0280570983887</v>
      </c>
      <c r="Q144">
        <v>5.8978395462036097</v>
      </c>
      <c r="R144">
        <v>7.9133934974670401</v>
      </c>
      <c r="S144">
        <v>6.1999998092651403</v>
      </c>
      <c r="T144" s="4">
        <v>0.54214614629745495</v>
      </c>
      <c r="U144">
        <v>9.19</v>
      </c>
      <c r="V144">
        <v>8.41</v>
      </c>
      <c r="W144">
        <f t="shared" si="6"/>
        <v>7.8631630122846374</v>
      </c>
      <c r="X144" s="4">
        <f t="shared" si="7"/>
        <v>-0.54683698771536271</v>
      </c>
      <c r="Y144" s="4">
        <f t="shared" si="8"/>
        <v>-1.763995973262374</v>
      </c>
      <c r="Z144" s="4">
        <v>0.30999900000000002</v>
      </c>
    </row>
    <row r="145" spans="1:26" x14ac:dyDescent="0.2">
      <c r="A145" t="s">
        <v>172</v>
      </c>
      <c r="B145">
        <v>156.77696228027301</v>
      </c>
      <c r="C145">
        <v>0</v>
      </c>
      <c r="D145">
        <v>132.98585510253901</v>
      </c>
      <c r="E145">
        <v>46.483684539794901</v>
      </c>
      <c r="F145">
        <v>5.9962420463562003</v>
      </c>
      <c r="G145">
        <v>72.972610473632798</v>
      </c>
      <c r="H145">
        <v>122.403450012207</v>
      </c>
      <c r="I145">
        <v>39.628593444824197</v>
      </c>
      <c r="J145">
        <v>6</v>
      </c>
      <c r="K145">
        <v>16.252235412597699</v>
      </c>
      <c r="L145">
        <v>122</v>
      </c>
      <c r="M145">
        <v>0</v>
      </c>
      <c r="N145">
        <v>20.099267959594702</v>
      </c>
      <c r="O145">
        <v>50</v>
      </c>
      <c r="P145">
        <v>49.051246643066399</v>
      </c>
      <c r="Q145">
        <v>5.9962420463562003</v>
      </c>
      <c r="R145">
        <v>6.7664842605590803</v>
      </c>
      <c r="S145">
        <v>6.1999998092651403</v>
      </c>
      <c r="T145" s="4">
        <v>0.53890556097030595</v>
      </c>
      <c r="U145">
        <v>8.52</v>
      </c>
      <c r="V145">
        <v>7.79</v>
      </c>
      <c r="W145">
        <f t="shared" si="6"/>
        <v>7.8161623080342943</v>
      </c>
      <c r="X145" s="4">
        <f t="shared" si="7"/>
        <v>2.6162308034294313E-2</v>
      </c>
      <c r="Y145" s="4">
        <f t="shared" si="8"/>
        <v>8.4394814287447092E-2</v>
      </c>
      <c r="Z145" s="4">
        <v>0.30999900000000002</v>
      </c>
    </row>
    <row r="146" spans="1:26" x14ac:dyDescent="0.2">
      <c r="A146" t="s">
        <v>173</v>
      </c>
      <c r="B146">
        <v>156.93363952636699</v>
      </c>
      <c r="C146">
        <v>0</v>
      </c>
      <c r="D146">
        <v>190.63430786132801</v>
      </c>
      <c r="E146">
        <v>45.6712646484375</v>
      </c>
      <c r="F146">
        <v>5.9740662574768102</v>
      </c>
      <c r="G146">
        <v>71.310867309570298</v>
      </c>
      <c r="H146">
        <v>122.28141784668</v>
      </c>
      <c r="I146">
        <v>44.710170745849602</v>
      </c>
      <c r="J146">
        <v>6</v>
      </c>
      <c r="K146">
        <v>24.014650344848601</v>
      </c>
      <c r="L146">
        <v>122</v>
      </c>
      <c r="M146">
        <v>0</v>
      </c>
      <c r="N146">
        <v>25.438940048217798</v>
      </c>
      <c r="O146">
        <v>50</v>
      </c>
      <c r="P146">
        <v>49.8523139953613</v>
      </c>
      <c r="Q146">
        <v>5.9740662574768102</v>
      </c>
      <c r="R146">
        <v>6.0153269767761204</v>
      </c>
      <c r="S146">
        <v>6.1999998092651403</v>
      </c>
      <c r="T146" s="4">
        <v>0.54098343849182096</v>
      </c>
      <c r="U146">
        <v>8.86</v>
      </c>
      <c r="V146">
        <v>8.11</v>
      </c>
      <c r="W146">
        <f t="shared" si="6"/>
        <v>7.8462993656945175</v>
      </c>
      <c r="X146" s="4">
        <f t="shared" si="7"/>
        <v>-0.26370063430548196</v>
      </c>
      <c r="Y146" s="4">
        <f t="shared" si="8"/>
        <v>-0.85064995146914002</v>
      </c>
      <c r="Z146" s="4">
        <v>0.30999900000000002</v>
      </c>
    </row>
    <row r="147" spans="1:26" x14ac:dyDescent="0.2">
      <c r="A147" t="s">
        <v>174</v>
      </c>
      <c r="B147">
        <v>156.49691772460901</v>
      </c>
      <c r="C147">
        <v>0</v>
      </c>
      <c r="D147">
        <v>166.69509887695301</v>
      </c>
      <c r="E147">
        <v>46.451854705810597</v>
      </c>
      <c r="F147">
        <v>5.9678750038146999</v>
      </c>
      <c r="G147">
        <v>73.092903137207003</v>
      </c>
      <c r="H147">
        <v>121.906135559082</v>
      </c>
      <c r="I147">
        <v>43.419937133789098</v>
      </c>
      <c r="J147">
        <v>6</v>
      </c>
      <c r="K147">
        <v>20.8801879882813</v>
      </c>
      <c r="L147">
        <v>122</v>
      </c>
      <c r="M147">
        <v>0</v>
      </c>
      <c r="N147">
        <v>24.7251071929932</v>
      </c>
      <c r="O147">
        <v>50</v>
      </c>
      <c r="P147">
        <v>50.141178131103501</v>
      </c>
      <c r="Q147">
        <v>5.9678750038146999</v>
      </c>
      <c r="R147">
        <v>6.3629879951477104</v>
      </c>
      <c r="S147">
        <v>6.1999998092651403</v>
      </c>
      <c r="T147" s="4">
        <v>0.54323369264602706</v>
      </c>
      <c r="U147">
        <v>8.81</v>
      </c>
      <c r="V147">
        <v>8.06</v>
      </c>
      <c r="W147">
        <f t="shared" si="6"/>
        <v>7.8789365343886679</v>
      </c>
      <c r="X147" s="4">
        <f t="shared" si="7"/>
        <v>-0.18106346561133257</v>
      </c>
      <c r="Y147" s="4">
        <f t="shared" si="8"/>
        <v>-0.5840775796416523</v>
      </c>
      <c r="Z147" s="4">
        <v>0.30999900000000002</v>
      </c>
    </row>
    <row r="148" spans="1:26" x14ac:dyDescent="0.2">
      <c r="A148" t="s">
        <v>175</v>
      </c>
      <c r="B148">
        <v>156.86209106445301</v>
      </c>
      <c r="C148">
        <v>0</v>
      </c>
      <c r="D148">
        <v>157.83784484863301</v>
      </c>
      <c r="E148">
        <v>46.625984191894503</v>
      </c>
      <c r="F148">
        <v>5.9558796882629403</v>
      </c>
      <c r="G148">
        <v>71.662277221679702</v>
      </c>
      <c r="H148">
        <v>121.66390991210901</v>
      </c>
      <c r="I148">
        <v>42.097202301025398</v>
      </c>
      <c r="J148">
        <v>6</v>
      </c>
      <c r="K148">
        <v>19.79323387146</v>
      </c>
      <c r="L148">
        <v>122</v>
      </c>
      <c r="M148">
        <v>0</v>
      </c>
      <c r="N148">
        <v>23.347780227661101</v>
      </c>
      <c r="O148">
        <v>50</v>
      </c>
      <c r="P148">
        <v>49.877841949462898</v>
      </c>
      <c r="Q148">
        <v>5.9558796882629403</v>
      </c>
      <c r="R148">
        <v>5.6444020271301296</v>
      </c>
      <c r="S148">
        <v>6.1999998092651403</v>
      </c>
      <c r="T148" s="4">
        <v>0.54902672767639205</v>
      </c>
      <c r="U148">
        <v>8.81</v>
      </c>
      <c r="V148">
        <v>8.06</v>
      </c>
      <c r="W148">
        <f t="shared" si="6"/>
        <v>7.962957382071024</v>
      </c>
      <c r="X148" s="4">
        <f t="shared" si="7"/>
        <v>-9.7042617928976505E-2</v>
      </c>
      <c r="Y148" s="4">
        <f t="shared" si="8"/>
        <v>-0.31304171280867515</v>
      </c>
      <c r="Z148" s="4">
        <v>0.30999900000000002</v>
      </c>
    </row>
    <row r="149" spans="1:26" x14ac:dyDescent="0.2">
      <c r="A149" t="s">
        <v>176</v>
      </c>
      <c r="B149">
        <v>156.45785522460901</v>
      </c>
      <c r="C149">
        <v>0</v>
      </c>
      <c r="D149">
        <v>161.24671936035199</v>
      </c>
      <c r="E149">
        <v>45.740219116210902</v>
      </c>
      <c r="F149">
        <v>6.0314655303955096</v>
      </c>
      <c r="G149">
        <v>70.681709289550795</v>
      </c>
      <c r="H149">
        <v>121.43076324462901</v>
      </c>
      <c r="I149">
        <v>44.894561767578097</v>
      </c>
      <c r="J149">
        <v>6</v>
      </c>
      <c r="K149">
        <v>20.845293045043899</v>
      </c>
      <c r="L149">
        <v>122</v>
      </c>
      <c r="M149">
        <v>0</v>
      </c>
      <c r="N149">
        <v>24.781030654907202</v>
      </c>
      <c r="O149">
        <v>50</v>
      </c>
      <c r="P149">
        <v>50.4642524719238</v>
      </c>
      <c r="Q149">
        <v>6.0314655303955096</v>
      </c>
      <c r="R149">
        <v>4.6169476509094203</v>
      </c>
      <c r="S149">
        <v>6.1999998092651403</v>
      </c>
      <c r="T149" s="4">
        <v>0.55547583103179898</v>
      </c>
      <c r="U149">
        <v>8.67</v>
      </c>
      <c r="V149">
        <v>7.93</v>
      </c>
      <c r="W149">
        <f t="shared" si="6"/>
        <v>8.0564936938440752</v>
      </c>
      <c r="X149" s="4">
        <f t="shared" si="7"/>
        <v>0.12649369384407549</v>
      </c>
      <c r="Y149" s="4">
        <f t="shared" si="8"/>
        <v>0.40804548996634016</v>
      </c>
      <c r="Z149" s="4">
        <v>0.30999900000000002</v>
      </c>
    </row>
    <row r="150" spans="1:26" x14ac:dyDescent="0.2">
      <c r="A150" t="s">
        <v>177</v>
      </c>
      <c r="B150">
        <v>156.31221008300801</v>
      </c>
      <c r="C150">
        <v>0</v>
      </c>
      <c r="D150">
        <v>192.64060974121099</v>
      </c>
      <c r="E150">
        <v>45.453346252441399</v>
      </c>
      <c r="F150">
        <v>6.0136814117431596</v>
      </c>
      <c r="G150">
        <v>69.205902099609403</v>
      </c>
      <c r="H150">
        <v>119.227333068848</v>
      </c>
      <c r="I150">
        <v>45.564796447753899</v>
      </c>
      <c r="J150">
        <v>6</v>
      </c>
      <c r="K150">
        <v>23.094020843505898</v>
      </c>
      <c r="L150">
        <v>120</v>
      </c>
      <c r="M150">
        <v>0</v>
      </c>
      <c r="N150">
        <v>25.685430526733398</v>
      </c>
      <c r="O150">
        <v>50</v>
      </c>
      <c r="P150">
        <v>50.856674194335902</v>
      </c>
      <c r="Q150">
        <v>6.0136814117431596</v>
      </c>
      <c r="R150">
        <v>6.4633646011352504</v>
      </c>
      <c r="S150">
        <v>6.1999998092651403</v>
      </c>
      <c r="T150" s="4">
        <v>0.55547583103179898</v>
      </c>
      <c r="U150">
        <v>8.7100000000000009</v>
      </c>
      <c r="V150">
        <v>7.97</v>
      </c>
      <c r="W150">
        <f t="shared" si="6"/>
        <v>8.0564936938440752</v>
      </c>
      <c r="X150" s="4">
        <f t="shared" si="7"/>
        <v>8.6493693844075459E-2</v>
      </c>
      <c r="Y150" s="4">
        <f t="shared" si="8"/>
        <v>0.27901281566739072</v>
      </c>
      <c r="Z150" s="4">
        <v>0.30999900000000002</v>
      </c>
    </row>
    <row r="151" spans="1:26" x14ac:dyDescent="0.2">
      <c r="A151" t="s">
        <v>178</v>
      </c>
      <c r="B151">
        <v>155.06544494628901</v>
      </c>
      <c r="C151">
        <v>0</v>
      </c>
      <c r="D151">
        <v>157.77110290527301</v>
      </c>
      <c r="E151">
        <v>45.482833862304702</v>
      </c>
      <c r="F151">
        <v>5.96409034729004</v>
      </c>
      <c r="G151">
        <v>70.813621520996094</v>
      </c>
      <c r="H151">
        <v>119.25445556640599</v>
      </c>
      <c r="I151">
        <v>41.4472045898438</v>
      </c>
      <c r="J151">
        <v>6</v>
      </c>
      <c r="K151">
        <v>20.641695022583001</v>
      </c>
      <c r="L151">
        <v>120</v>
      </c>
      <c r="M151">
        <v>0</v>
      </c>
      <c r="N151">
        <v>24.023805618286101</v>
      </c>
      <c r="O151">
        <v>50</v>
      </c>
      <c r="P151">
        <v>49.670707702636697</v>
      </c>
      <c r="Q151">
        <v>5.96409034729004</v>
      </c>
      <c r="R151">
        <v>4.7272071838378897</v>
      </c>
      <c r="S151">
        <v>6.1999998092651403</v>
      </c>
      <c r="T151" s="4">
        <v>0.55547583103179898</v>
      </c>
      <c r="U151">
        <v>9.1300000000000008</v>
      </c>
      <c r="V151">
        <v>8.35</v>
      </c>
      <c r="W151">
        <f t="shared" si="6"/>
        <v>8.0564936938440752</v>
      </c>
      <c r="X151" s="4">
        <f t="shared" si="7"/>
        <v>-0.29350630615592443</v>
      </c>
      <c r="Y151" s="4">
        <f t="shared" si="8"/>
        <v>-0.94679759017262766</v>
      </c>
      <c r="Z151" s="4">
        <v>0.30999900000000002</v>
      </c>
    </row>
    <row r="152" spans="1:26" x14ac:dyDescent="0.2">
      <c r="A152" t="s">
        <v>179</v>
      </c>
      <c r="B152">
        <v>155.50152587890599</v>
      </c>
      <c r="C152">
        <v>0</v>
      </c>
      <c r="D152">
        <v>165.11093139648401</v>
      </c>
      <c r="E152">
        <v>45.897895812988303</v>
      </c>
      <c r="F152">
        <v>6.0126986503601101</v>
      </c>
      <c r="G152">
        <v>72.939414978027301</v>
      </c>
      <c r="H152">
        <v>120.970657348633</v>
      </c>
      <c r="I152">
        <v>43.390750885009801</v>
      </c>
      <c r="J152">
        <v>6</v>
      </c>
      <c r="K152">
        <v>19.2506408691406</v>
      </c>
      <c r="L152">
        <v>120</v>
      </c>
      <c r="M152">
        <v>0</v>
      </c>
      <c r="N152">
        <v>23.439477920532202</v>
      </c>
      <c r="O152">
        <v>50</v>
      </c>
      <c r="P152">
        <v>49.9651069641113</v>
      </c>
      <c r="Q152">
        <v>6.0126986503601101</v>
      </c>
      <c r="R152">
        <v>4.8889708518981898</v>
      </c>
      <c r="S152">
        <v>6.1999998092651403</v>
      </c>
      <c r="T152" s="4">
        <v>0.55547583103179898</v>
      </c>
      <c r="U152">
        <v>8.83</v>
      </c>
      <c r="V152">
        <v>8.08</v>
      </c>
      <c r="W152">
        <f t="shared" si="6"/>
        <v>8.0564936938440752</v>
      </c>
      <c r="X152" s="4">
        <f t="shared" si="7"/>
        <v>-2.3506306155924861E-2</v>
      </c>
      <c r="Y152" s="4">
        <f t="shared" si="8"/>
        <v>-7.5827038654721013E-2</v>
      </c>
      <c r="Z152" s="4">
        <v>0.30999900000000002</v>
      </c>
    </row>
    <row r="153" spans="1:26" x14ac:dyDescent="0.2">
      <c r="A153" t="s">
        <v>180</v>
      </c>
      <c r="B153">
        <v>154.956130981445</v>
      </c>
      <c r="C153">
        <v>0</v>
      </c>
      <c r="D153">
        <v>135.09666442871099</v>
      </c>
      <c r="E153">
        <v>45.992595672607401</v>
      </c>
      <c r="F153">
        <v>5.9895257949829102</v>
      </c>
      <c r="G153">
        <v>72.542900085449205</v>
      </c>
      <c r="H153">
        <v>119.71835327148401</v>
      </c>
      <c r="I153">
        <v>40.945560455322301</v>
      </c>
      <c r="J153">
        <v>6</v>
      </c>
      <c r="K153">
        <v>17.489177703857401</v>
      </c>
      <c r="L153">
        <v>120</v>
      </c>
      <c r="M153">
        <v>0</v>
      </c>
      <c r="N153">
        <v>23.750272750854499</v>
      </c>
      <c r="O153">
        <v>50</v>
      </c>
      <c r="P153">
        <v>50.330234527587898</v>
      </c>
      <c r="Q153">
        <v>5.9895257949829102</v>
      </c>
      <c r="R153">
        <v>6.7433562278747603</v>
      </c>
      <c r="S153">
        <v>6.1999998092651403</v>
      </c>
      <c r="T153" s="4">
        <v>0.55547583103179898</v>
      </c>
      <c r="W153">
        <f t="shared" si="6"/>
        <v>8.0564936938440752</v>
      </c>
      <c r="X153" s="4">
        <f t="shared" si="7"/>
        <v>8.0564936938440752</v>
      </c>
      <c r="Y153" s="4">
        <f t="shared" si="8"/>
        <v>25.988773169733047</v>
      </c>
      <c r="Z153" s="4">
        <v>0.30999900000000002</v>
      </c>
    </row>
    <row r="154" spans="1:26" x14ac:dyDescent="0.2">
      <c r="A154" t="s">
        <v>181</v>
      </c>
      <c r="B154">
        <v>155.91209411621099</v>
      </c>
      <c r="C154">
        <v>0</v>
      </c>
      <c r="D154">
        <v>162.72235107421901</v>
      </c>
      <c r="E154">
        <v>46.159194946289098</v>
      </c>
      <c r="F154">
        <v>6.0288634300231898</v>
      </c>
      <c r="G154">
        <v>70.373329162597699</v>
      </c>
      <c r="H154">
        <v>119.532279968262</v>
      </c>
      <c r="I154">
        <v>45.097183227539098</v>
      </c>
      <c r="J154">
        <v>6</v>
      </c>
      <c r="K154">
        <v>20.753898620605501</v>
      </c>
      <c r="L154">
        <v>120</v>
      </c>
      <c r="M154">
        <v>0</v>
      </c>
      <c r="N154">
        <v>24.725105285644499</v>
      </c>
      <c r="O154">
        <v>50</v>
      </c>
      <c r="P154">
        <v>50.355888366699197</v>
      </c>
      <c r="Q154">
        <v>6.0288634300231898</v>
      </c>
      <c r="R154">
        <v>7.3166794776916504</v>
      </c>
      <c r="S154">
        <v>6.1999998092651403</v>
      </c>
      <c r="T154" s="4">
        <v>0.55547583103179898</v>
      </c>
      <c r="W154">
        <f t="shared" si="6"/>
        <v>8.0564936938440752</v>
      </c>
      <c r="X154" s="4">
        <f t="shared" si="7"/>
        <v>8.0564936938440752</v>
      </c>
      <c r="Y154" s="4">
        <f t="shared" si="8"/>
        <v>25.988773169733047</v>
      </c>
      <c r="Z154" s="4">
        <v>0.30999900000000002</v>
      </c>
    </row>
    <row r="155" spans="1:26" x14ac:dyDescent="0.2">
      <c r="A155" t="s">
        <v>182</v>
      </c>
      <c r="B155">
        <v>155.01414489746099</v>
      </c>
      <c r="C155">
        <v>0</v>
      </c>
      <c r="D155">
        <v>153.63439941406301</v>
      </c>
      <c r="E155">
        <v>46.443046569824197</v>
      </c>
      <c r="F155">
        <v>5.9868016242981001</v>
      </c>
      <c r="G155">
        <v>71.479217529296903</v>
      </c>
      <c r="H155">
        <v>120.453659057617</v>
      </c>
      <c r="I155">
        <v>41.970989227294901</v>
      </c>
      <c r="J155">
        <v>6</v>
      </c>
      <c r="K155">
        <v>19.590379714965799</v>
      </c>
      <c r="L155">
        <v>120</v>
      </c>
      <c r="M155">
        <v>0</v>
      </c>
      <c r="N155">
        <v>24.9688911437988</v>
      </c>
      <c r="O155">
        <v>50</v>
      </c>
      <c r="P155">
        <v>50.156162261962898</v>
      </c>
      <c r="Q155">
        <v>5.9868016242981001</v>
      </c>
      <c r="R155">
        <v>6.2502632141113299</v>
      </c>
      <c r="S155">
        <v>6.1999998092651403</v>
      </c>
      <c r="T155" s="4">
        <v>0.55547583103179898</v>
      </c>
      <c r="W155">
        <f t="shared" si="6"/>
        <v>8.0564936938440752</v>
      </c>
      <c r="X155" s="4">
        <f t="shared" si="7"/>
        <v>8.0564936938440752</v>
      </c>
      <c r="Y155" s="4">
        <f t="shared" si="8"/>
        <v>25.988773169733047</v>
      </c>
      <c r="Z155" s="4">
        <v>0.30999900000000002</v>
      </c>
    </row>
    <row r="156" spans="1:26" x14ac:dyDescent="0.2">
      <c r="A156" t="s">
        <v>183</v>
      </c>
      <c r="B156">
        <v>154.71746826171901</v>
      </c>
      <c r="C156">
        <v>0</v>
      </c>
      <c r="D156">
        <v>176.778884887695</v>
      </c>
      <c r="E156">
        <v>46.574089050292997</v>
      </c>
      <c r="F156">
        <v>6.0461506843566903</v>
      </c>
      <c r="G156">
        <v>70.191566467285199</v>
      </c>
      <c r="H156">
        <v>119.38761138916</v>
      </c>
      <c r="I156">
        <v>44.484867095947301</v>
      </c>
      <c r="J156">
        <v>6</v>
      </c>
      <c r="K156">
        <v>21.733901977539102</v>
      </c>
      <c r="L156">
        <v>120</v>
      </c>
      <c r="M156">
        <v>0</v>
      </c>
      <c r="N156">
        <v>25.051761627197301</v>
      </c>
      <c r="O156">
        <v>50</v>
      </c>
      <c r="P156">
        <v>50.177486419677699</v>
      </c>
      <c r="Q156">
        <v>6.0461506843566903</v>
      </c>
      <c r="R156">
        <v>7.5338339805603001</v>
      </c>
      <c r="S156">
        <v>6.1999998092651403</v>
      </c>
      <c r="T156" s="4">
        <v>0.55547583103179898</v>
      </c>
      <c r="W156">
        <f t="shared" si="6"/>
        <v>8.0564936938440752</v>
      </c>
      <c r="X156" s="4">
        <f t="shared" si="7"/>
        <v>8.0564936938440752</v>
      </c>
      <c r="Y156" s="4">
        <f t="shared" si="8"/>
        <v>25.988773169733047</v>
      </c>
      <c r="Z156" s="4">
        <v>0.30999900000000002</v>
      </c>
    </row>
    <row r="157" spans="1:26" x14ac:dyDescent="0.2">
      <c r="A157" t="s">
        <v>184</v>
      </c>
      <c r="B157">
        <v>157.81338500976599</v>
      </c>
      <c r="C157">
        <v>0</v>
      </c>
      <c r="D157">
        <v>213.90786743164099</v>
      </c>
      <c r="E157">
        <v>48.030830383300803</v>
      </c>
      <c r="F157">
        <v>5.9397306442260698</v>
      </c>
      <c r="G157">
        <v>71.363418579101605</v>
      </c>
      <c r="H157">
        <v>120.585968017578</v>
      </c>
      <c r="I157">
        <v>44.6452445983887</v>
      </c>
      <c r="J157">
        <v>6</v>
      </c>
      <c r="K157">
        <v>26.2983798980713</v>
      </c>
      <c r="L157">
        <v>120</v>
      </c>
      <c r="M157">
        <v>0</v>
      </c>
      <c r="N157">
        <v>27.779394149780298</v>
      </c>
      <c r="O157">
        <v>50</v>
      </c>
      <c r="P157">
        <v>50.0880737304688</v>
      </c>
      <c r="Q157">
        <v>5.9397306442260698</v>
      </c>
      <c r="R157">
        <v>8.3172636032104492</v>
      </c>
      <c r="S157">
        <v>6.1999998092651403</v>
      </c>
      <c r="T157" s="4">
        <v>0.54378837347030595</v>
      </c>
      <c r="W157">
        <f t="shared" si="6"/>
        <v>7.8869814974874188</v>
      </c>
      <c r="X157" s="4">
        <f t="shared" si="7"/>
        <v>7.8869814974874188</v>
      </c>
      <c r="Y157" s="4">
        <f t="shared" si="8"/>
        <v>25.441957869178346</v>
      </c>
      <c r="Z157" s="4">
        <v>0.30999900000000002</v>
      </c>
    </row>
    <row r="158" spans="1:26" x14ac:dyDescent="0.2">
      <c r="A158" t="s">
        <v>185</v>
      </c>
      <c r="B158">
        <v>156.71292114257801</v>
      </c>
      <c r="C158">
        <v>0</v>
      </c>
      <c r="D158">
        <v>208.30651855468801</v>
      </c>
      <c r="E158">
        <v>48.223854064941399</v>
      </c>
      <c r="F158">
        <v>5.97064161300659</v>
      </c>
      <c r="G158">
        <v>70.329032897949205</v>
      </c>
      <c r="H158">
        <v>120.668739318848</v>
      </c>
      <c r="I158">
        <v>43.516311645507798</v>
      </c>
      <c r="J158">
        <v>6</v>
      </c>
      <c r="K158">
        <v>25.738071441650401</v>
      </c>
      <c r="L158">
        <v>120</v>
      </c>
      <c r="M158">
        <v>0</v>
      </c>
      <c r="N158">
        <v>27.696172714233398</v>
      </c>
      <c r="O158">
        <v>50</v>
      </c>
      <c r="P158">
        <v>49.836494445800803</v>
      </c>
      <c r="Q158">
        <v>5.97064161300659</v>
      </c>
      <c r="R158">
        <v>10.284508705139199</v>
      </c>
      <c r="S158">
        <v>6.1999998092651403</v>
      </c>
      <c r="T158" s="4">
        <v>0.54340499639511097</v>
      </c>
      <c r="W158">
        <f t="shared" si="6"/>
        <v>7.8814210845655186</v>
      </c>
      <c r="X158" s="4">
        <f t="shared" si="7"/>
        <v>7.8814210845655186</v>
      </c>
      <c r="Y158" s="4">
        <f t="shared" si="8"/>
        <v>25.424020995440365</v>
      </c>
      <c r="Z158" s="4">
        <v>0.30999900000000002</v>
      </c>
    </row>
    <row r="159" spans="1:26" x14ac:dyDescent="0.2">
      <c r="A159" t="s">
        <v>186</v>
      </c>
      <c r="B159">
        <v>153.98345947265599</v>
      </c>
      <c r="C159">
        <v>0</v>
      </c>
      <c r="D159">
        <v>141.76698303222699</v>
      </c>
      <c r="E159">
        <v>46.637489318847699</v>
      </c>
      <c r="F159">
        <v>6.01497554779053</v>
      </c>
      <c r="G159">
        <v>74.912460327148395</v>
      </c>
      <c r="H159">
        <v>119.90252685546901</v>
      </c>
      <c r="I159">
        <v>42.446239471435597</v>
      </c>
      <c r="J159">
        <v>6</v>
      </c>
      <c r="K159">
        <v>18.051927566528299</v>
      </c>
      <c r="L159">
        <v>120</v>
      </c>
      <c r="M159">
        <v>0</v>
      </c>
      <c r="N159">
        <v>24.086320877075199</v>
      </c>
      <c r="O159">
        <v>50</v>
      </c>
      <c r="P159">
        <v>49.9236450195313</v>
      </c>
      <c r="Q159">
        <v>6.01497554779053</v>
      </c>
      <c r="R159">
        <v>7.9818840026855504</v>
      </c>
      <c r="S159">
        <v>6.1999998092651403</v>
      </c>
      <c r="T159" s="4">
        <v>0.54340499639511097</v>
      </c>
      <c r="U159">
        <v>9.5500000000000007</v>
      </c>
      <c r="V159">
        <v>8.7200000000000006</v>
      </c>
      <c r="W159">
        <f t="shared" si="6"/>
        <v>7.8814210845655186</v>
      </c>
      <c r="X159" s="4">
        <f t="shared" si="7"/>
        <v>-0.83857891543448204</v>
      </c>
      <c r="Y159" s="4">
        <f t="shared" si="8"/>
        <v>-2.7051020017305927</v>
      </c>
      <c r="Z159" s="4">
        <v>0.30999900000000002</v>
      </c>
    </row>
    <row r="160" spans="1:26" x14ac:dyDescent="0.2">
      <c r="A160" t="s">
        <v>187</v>
      </c>
      <c r="B160">
        <v>154.30462646484401</v>
      </c>
      <c r="C160">
        <v>0</v>
      </c>
      <c r="D160">
        <v>137.87553405761699</v>
      </c>
      <c r="E160">
        <v>47.091949462890597</v>
      </c>
      <c r="F160">
        <v>6.0212244987487802</v>
      </c>
      <c r="G160">
        <v>70.528953552246094</v>
      </c>
      <c r="H160">
        <v>118.835990905762</v>
      </c>
      <c r="I160">
        <v>42.935707092285199</v>
      </c>
      <c r="J160">
        <v>6</v>
      </c>
      <c r="K160">
        <v>18.5634670257568</v>
      </c>
      <c r="L160">
        <v>120</v>
      </c>
      <c r="M160">
        <v>0</v>
      </c>
      <c r="N160">
        <v>24.584445953369102</v>
      </c>
      <c r="O160">
        <v>50</v>
      </c>
      <c r="P160">
        <v>50.612438201904297</v>
      </c>
      <c r="Q160">
        <v>6.0212244987487802</v>
      </c>
      <c r="R160">
        <v>4.9978818893432599</v>
      </c>
      <c r="S160">
        <v>6.1999998092651403</v>
      </c>
      <c r="T160" s="4">
        <v>0.54340499639511097</v>
      </c>
      <c r="U160">
        <v>9.5</v>
      </c>
      <c r="V160">
        <v>8.69</v>
      </c>
      <c r="W160">
        <f t="shared" si="6"/>
        <v>7.8814210845655186</v>
      </c>
      <c r="X160" s="4">
        <f t="shared" si="7"/>
        <v>-0.8085789154344809</v>
      </c>
      <c r="Y160" s="4">
        <f t="shared" si="8"/>
        <v>-2.6083274960063769</v>
      </c>
      <c r="Z160" s="4">
        <v>0.30999900000000002</v>
      </c>
    </row>
    <row r="161" spans="1:26" x14ac:dyDescent="0.2">
      <c r="A161" t="s">
        <v>188</v>
      </c>
      <c r="B161">
        <v>154.55792236328099</v>
      </c>
      <c r="C161">
        <v>0</v>
      </c>
      <c r="D161">
        <v>130.40667724609401</v>
      </c>
      <c r="E161">
        <v>47.125503540039098</v>
      </c>
      <c r="F161">
        <v>5.9658789634704599</v>
      </c>
      <c r="G161">
        <v>71.755233764648395</v>
      </c>
      <c r="H161">
        <v>120.86244964599599</v>
      </c>
      <c r="I161">
        <v>40.5045776367188</v>
      </c>
      <c r="J161">
        <v>6</v>
      </c>
      <c r="K161">
        <v>17.1740818023682</v>
      </c>
      <c r="L161">
        <v>120</v>
      </c>
      <c r="M161">
        <v>0</v>
      </c>
      <c r="N161">
        <v>23.879320144653299</v>
      </c>
      <c r="O161">
        <v>50</v>
      </c>
      <c r="P161">
        <v>50.100666046142599</v>
      </c>
      <c r="Q161">
        <v>5.9658789634704599</v>
      </c>
      <c r="R161">
        <v>6.2520112991332999</v>
      </c>
      <c r="S161">
        <v>6.1999998092651403</v>
      </c>
      <c r="T161" s="4">
        <v>0.54340499639511097</v>
      </c>
      <c r="U161">
        <v>9.2799999999999994</v>
      </c>
      <c r="V161">
        <v>8.49</v>
      </c>
      <c r="W161">
        <f t="shared" si="6"/>
        <v>7.8814210845655186</v>
      </c>
      <c r="X161" s="4">
        <f t="shared" si="7"/>
        <v>-0.60857891543448162</v>
      </c>
      <c r="Y161" s="4">
        <f t="shared" si="8"/>
        <v>-1.9631641245116325</v>
      </c>
      <c r="Z161" s="4">
        <v>0.30999900000000002</v>
      </c>
    </row>
    <row r="162" spans="1:26" x14ac:dyDescent="0.2">
      <c r="A162" t="s">
        <v>189</v>
      </c>
      <c r="B162">
        <v>155.08255004882801</v>
      </c>
      <c r="C162">
        <v>0</v>
      </c>
      <c r="D162">
        <v>143.27516174316401</v>
      </c>
      <c r="E162">
        <v>48.0578422546387</v>
      </c>
      <c r="F162">
        <v>5.9452753067016602</v>
      </c>
      <c r="G162">
        <v>72.103401184082003</v>
      </c>
      <c r="H162">
        <v>121.013786315918</v>
      </c>
      <c r="I162">
        <v>41.716892242431598</v>
      </c>
      <c r="J162">
        <v>6</v>
      </c>
      <c r="K162">
        <v>18.383384704589801</v>
      </c>
      <c r="L162">
        <v>120</v>
      </c>
      <c r="M162">
        <v>0</v>
      </c>
      <c r="N162">
        <v>23.25927734375</v>
      </c>
      <c r="O162">
        <v>50</v>
      </c>
      <c r="P162">
        <v>49.421085357666001</v>
      </c>
      <c r="Q162">
        <v>5.9452753067016602</v>
      </c>
      <c r="R162">
        <v>5.25705766677856</v>
      </c>
      <c r="S162">
        <v>6.1999998092651403</v>
      </c>
      <c r="T162" s="4">
        <v>0.54340499639511097</v>
      </c>
      <c r="U162">
        <v>9.5500000000000007</v>
      </c>
      <c r="V162">
        <v>8.74</v>
      </c>
      <c r="W162">
        <f t="shared" si="6"/>
        <v>7.8814210845655186</v>
      </c>
      <c r="X162" s="4">
        <f t="shared" si="7"/>
        <v>-0.85857891543448162</v>
      </c>
      <c r="Y162" s="4">
        <f t="shared" si="8"/>
        <v>-2.7696183388800657</v>
      </c>
      <c r="Z162" s="4">
        <v>0.30999900000000002</v>
      </c>
    </row>
    <row r="163" spans="1:26" x14ac:dyDescent="0.2">
      <c r="A163" t="s">
        <v>190</v>
      </c>
      <c r="B163">
        <v>155.66880798339801</v>
      </c>
      <c r="C163">
        <v>0</v>
      </c>
      <c r="D163">
        <v>151.21305847168</v>
      </c>
      <c r="E163">
        <v>47.795612335205099</v>
      </c>
      <c r="F163">
        <v>6.0142116546630904</v>
      </c>
      <c r="G163">
        <v>69.984909057617202</v>
      </c>
      <c r="H163">
        <v>119.87384796142599</v>
      </c>
      <c r="I163">
        <v>42.032356262207003</v>
      </c>
      <c r="J163">
        <v>6</v>
      </c>
      <c r="K163">
        <v>19.590030670166001</v>
      </c>
      <c r="L163">
        <v>120</v>
      </c>
      <c r="M163">
        <v>0</v>
      </c>
      <c r="N163">
        <v>23.445888519287099</v>
      </c>
      <c r="O163">
        <v>50</v>
      </c>
      <c r="P163">
        <v>49.837352752685597</v>
      </c>
      <c r="Q163">
        <v>6.0142116546630904</v>
      </c>
      <c r="R163">
        <v>5.3936104774475098</v>
      </c>
      <c r="S163">
        <v>6.1999998092651403</v>
      </c>
      <c r="T163" s="4">
        <v>0.17656169831752799</v>
      </c>
      <c r="U163">
        <v>8.59</v>
      </c>
      <c r="V163">
        <v>7.86</v>
      </c>
      <c r="W163">
        <f t="shared" si="6"/>
        <v>2.5608102632068128</v>
      </c>
      <c r="X163" s="4">
        <f>+W163-V163</f>
        <v>-5.2991897367931875</v>
      </c>
      <c r="Y163" s="4">
        <f t="shared" si="8"/>
        <v>-17.09421558389926</v>
      </c>
      <c r="Z163" s="4">
        <v>0.30999900000000002</v>
      </c>
    </row>
    <row r="164" spans="1:26" x14ac:dyDescent="0.2">
      <c r="A164" t="s">
        <v>191</v>
      </c>
      <c r="B164">
        <v>155.26548767089801</v>
      </c>
      <c r="C164">
        <v>0</v>
      </c>
      <c r="D164">
        <v>139.74101257324199</v>
      </c>
      <c r="E164">
        <v>47.448215484619098</v>
      </c>
      <c r="F164">
        <v>6.0335526466369602</v>
      </c>
      <c r="G164">
        <v>67.553718566894503</v>
      </c>
      <c r="H164">
        <v>118.70973205566401</v>
      </c>
      <c r="I164">
        <v>41.556068420410199</v>
      </c>
      <c r="J164">
        <v>6</v>
      </c>
      <c r="K164">
        <v>18.995475769043001</v>
      </c>
      <c r="L164">
        <v>120</v>
      </c>
      <c r="M164">
        <v>0</v>
      </c>
      <c r="N164">
        <v>23.802139282226602</v>
      </c>
      <c r="O164">
        <v>50</v>
      </c>
      <c r="P164">
        <v>50.114227294921903</v>
      </c>
      <c r="Q164">
        <v>6.0335526466369602</v>
      </c>
      <c r="R164">
        <v>7.0382394790649396</v>
      </c>
      <c r="S164">
        <v>6.1999998092651403</v>
      </c>
      <c r="T164" s="4">
        <v>0.58321452140808105</v>
      </c>
      <c r="U164">
        <v>8.31</v>
      </c>
      <c r="V164">
        <v>7.78</v>
      </c>
      <c r="W164">
        <f t="shared" si="6"/>
        <v>8.4588092791628835</v>
      </c>
      <c r="X164" s="4">
        <f t="shared" si="7"/>
        <v>0.67880927916288325</v>
      </c>
      <c r="Y164" s="4">
        <f t="shared" si="8"/>
        <v>2.1897144157332225</v>
      </c>
      <c r="Z164" s="4">
        <v>0.30999900000000002</v>
      </c>
    </row>
    <row r="165" spans="1:26" x14ac:dyDescent="0.2">
      <c r="A165" t="s">
        <v>192</v>
      </c>
      <c r="B165">
        <v>155.08123779296901</v>
      </c>
      <c r="C165">
        <v>0</v>
      </c>
      <c r="D165">
        <v>173.72439575195301</v>
      </c>
      <c r="E165">
        <v>46.209300994873097</v>
      </c>
      <c r="F165">
        <v>6.0745010375976598</v>
      </c>
      <c r="G165">
        <v>68.616729736328097</v>
      </c>
      <c r="H165">
        <v>118.720542907715</v>
      </c>
      <c r="I165">
        <v>45.608600616455099</v>
      </c>
      <c r="J165">
        <v>6</v>
      </c>
      <c r="K165">
        <v>20.43528175354</v>
      </c>
      <c r="L165">
        <v>120</v>
      </c>
      <c r="M165">
        <v>0</v>
      </c>
      <c r="N165">
        <v>24.537683486938501</v>
      </c>
      <c r="O165">
        <v>50</v>
      </c>
      <c r="P165">
        <v>50.208469390869098</v>
      </c>
      <c r="Q165">
        <v>6.0745010375976598</v>
      </c>
      <c r="R165">
        <v>6.4048562049865696</v>
      </c>
      <c r="S165">
        <v>6.1999998092651403</v>
      </c>
      <c r="T165" s="4">
        <v>0.59172070026397705</v>
      </c>
      <c r="U165">
        <v>9.11</v>
      </c>
      <c r="V165">
        <v>8.34</v>
      </c>
      <c r="W165">
        <f t="shared" si="6"/>
        <v>8.5821809408676621</v>
      </c>
      <c r="X165" s="4">
        <f t="shared" si="7"/>
        <v>0.24218094086766229</v>
      </c>
      <c r="Y165" s="4">
        <f t="shared" si="8"/>
        <v>0.78123136160975448</v>
      </c>
      <c r="Z165" s="4">
        <v>0.30999900000000002</v>
      </c>
    </row>
    <row r="166" spans="1:26" x14ac:dyDescent="0.2">
      <c r="A166" t="s">
        <v>193</v>
      </c>
      <c r="B166">
        <v>158.21302795410199</v>
      </c>
      <c r="C166">
        <v>0</v>
      </c>
      <c r="D166">
        <v>126.772994995117</v>
      </c>
      <c r="E166">
        <v>49.727214813232401</v>
      </c>
      <c r="F166">
        <v>6.1189937591552699</v>
      </c>
      <c r="G166">
        <v>69.691825866699205</v>
      </c>
      <c r="H166">
        <v>117.50749969482401</v>
      </c>
      <c r="I166">
        <v>41.044055938720703</v>
      </c>
      <c r="J166">
        <v>6</v>
      </c>
      <c r="K166">
        <v>17.1013374328613</v>
      </c>
      <c r="L166">
        <v>120</v>
      </c>
      <c r="M166">
        <v>0</v>
      </c>
      <c r="N166">
        <v>21.974048614501999</v>
      </c>
      <c r="O166">
        <v>50</v>
      </c>
      <c r="P166">
        <v>50.792766571044901</v>
      </c>
      <c r="Q166">
        <v>6.1189937591552699</v>
      </c>
      <c r="R166">
        <v>5.9988737106323198</v>
      </c>
      <c r="S166">
        <v>6.1999998092651403</v>
      </c>
      <c r="T166" s="4">
        <v>0.57302761077880904</v>
      </c>
      <c r="U166">
        <v>8.4600000000000009</v>
      </c>
      <c r="V166">
        <v>7.76</v>
      </c>
      <c r="W166">
        <f t="shared" si="6"/>
        <v>8.3110606703853662</v>
      </c>
      <c r="X166" s="4">
        <f t="shared" si="7"/>
        <v>0.55106067038536644</v>
      </c>
      <c r="Y166" s="4">
        <f t="shared" si="8"/>
        <v>1.7776208000198916</v>
      </c>
      <c r="Z166" s="4">
        <v>0.30999900000000002</v>
      </c>
    </row>
    <row r="167" spans="1:26" x14ac:dyDescent="0.2">
      <c r="A167" t="s">
        <v>194</v>
      </c>
      <c r="B167">
        <v>154.97389221191401</v>
      </c>
      <c r="C167">
        <v>0</v>
      </c>
      <c r="D167">
        <v>144.66416931152301</v>
      </c>
      <c r="E167">
        <v>46.722694396972699</v>
      </c>
      <c r="F167">
        <v>5.9926304817199698</v>
      </c>
      <c r="G167">
        <v>70.908721923828097</v>
      </c>
      <c r="H167">
        <v>119.920768737793</v>
      </c>
      <c r="I167">
        <v>42.195655822753899</v>
      </c>
      <c r="J167">
        <v>6</v>
      </c>
      <c r="K167">
        <v>19.5144348144531</v>
      </c>
      <c r="L167">
        <v>120</v>
      </c>
      <c r="M167">
        <v>0</v>
      </c>
      <c r="N167">
        <v>24.364425659179702</v>
      </c>
      <c r="O167">
        <v>50</v>
      </c>
      <c r="P167">
        <v>49.671146392822301</v>
      </c>
      <c r="Q167">
        <v>5.9926304817199698</v>
      </c>
      <c r="R167">
        <v>6.5960426330566397</v>
      </c>
      <c r="S167">
        <v>6.1999998092651403</v>
      </c>
      <c r="T167" s="4">
        <v>0.59647113084793102</v>
      </c>
      <c r="U167">
        <v>9.3699999999999992</v>
      </c>
      <c r="V167">
        <v>8.57</v>
      </c>
      <c r="W167">
        <f t="shared" si="6"/>
        <v>8.6510800934582957</v>
      </c>
      <c r="X167" s="4">
        <f t="shared" si="7"/>
        <v>8.1080093458295366E-2</v>
      </c>
      <c r="Y167" s="4">
        <f t="shared" si="8"/>
        <v>0.26154953228331496</v>
      </c>
      <c r="Z167" s="4">
        <v>0.30999900000000002</v>
      </c>
    </row>
    <row r="168" spans="1:26" x14ac:dyDescent="0.2">
      <c r="A168" t="s">
        <v>195</v>
      </c>
      <c r="B168">
        <v>155.01943969726599</v>
      </c>
      <c r="C168">
        <v>0</v>
      </c>
      <c r="D168">
        <v>164.06869506835901</v>
      </c>
      <c r="E168">
        <v>46.929904937744098</v>
      </c>
      <c r="F168">
        <v>6.0631546974182102</v>
      </c>
      <c r="G168">
        <v>69.142662048339801</v>
      </c>
      <c r="H168">
        <v>120.39974975585901</v>
      </c>
      <c r="I168">
        <v>43.511745452880902</v>
      </c>
      <c r="J168">
        <v>6</v>
      </c>
      <c r="K168">
        <v>19.3953533172607</v>
      </c>
      <c r="L168">
        <v>120</v>
      </c>
      <c r="M168">
        <v>0</v>
      </c>
      <c r="N168">
        <v>23.549140930175799</v>
      </c>
      <c r="O168">
        <v>50</v>
      </c>
      <c r="P168">
        <v>49.627342224121101</v>
      </c>
      <c r="Q168">
        <v>6.0631546974182102</v>
      </c>
      <c r="R168">
        <v>7.0506172180175799</v>
      </c>
      <c r="S168">
        <v>6.1999998092651403</v>
      </c>
      <c r="T168" s="4">
        <v>0.60630869865417503</v>
      </c>
      <c r="U168">
        <v>9.25</v>
      </c>
      <c r="V168">
        <v>8.4700000000000006</v>
      </c>
      <c r="W168">
        <f t="shared" si="6"/>
        <v>8.7937619142794645</v>
      </c>
      <c r="X168" s="4">
        <f t="shared" si="7"/>
        <v>0.32376191427946388</v>
      </c>
      <c r="Y168" s="4">
        <f t="shared" si="8"/>
        <v>1.0443966408906604</v>
      </c>
      <c r="Z168" s="4">
        <v>0.30999900000000002</v>
      </c>
    </row>
    <row r="169" spans="1:26" x14ac:dyDescent="0.2">
      <c r="A169" t="s">
        <v>196</v>
      </c>
      <c r="B169">
        <v>154.48554992675801</v>
      </c>
      <c r="C169">
        <v>0</v>
      </c>
      <c r="D169">
        <v>128.62844848632801</v>
      </c>
      <c r="E169">
        <v>47.934085845947301</v>
      </c>
      <c r="F169">
        <v>5.9193992614746103</v>
      </c>
      <c r="G169">
        <v>73.149284362792997</v>
      </c>
      <c r="H169">
        <v>120.74097442627</v>
      </c>
      <c r="I169">
        <v>39.264717102050803</v>
      </c>
      <c r="J169">
        <v>6</v>
      </c>
      <c r="K169">
        <v>17.752799987793001</v>
      </c>
      <c r="L169">
        <v>120</v>
      </c>
      <c r="M169">
        <v>3.9043715000152601</v>
      </c>
      <c r="N169">
        <v>23.084831237793001</v>
      </c>
      <c r="O169">
        <v>50</v>
      </c>
      <c r="P169">
        <v>48.738307952880902</v>
      </c>
      <c r="Q169">
        <v>5.9193992614746103</v>
      </c>
      <c r="R169">
        <v>6.20803022384644</v>
      </c>
      <c r="S169">
        <v>6.1999998092651403</v>
      </c>
      <c r="T169" s="4">
        <v>0.599931180477142</v>
      </c>
      <c r="U169">
        <v>8.52</v>
      </c>
      <c r="V169">
        <v>7.79</v>
      </c>
      <c r="W169">
        <f t="shared" si="6"/>
        <v>8.7012638574689571</v>
      </c>
      <c r="X169" s="4">
        <f t="shared" si="7"/>
        <v>0.91126385746895711</v>
      </c>
      <c r="Y169" s="4">
        <f t="shared" si="8"/>
        <v>2.9395703130299036</v>
      </c>
      <c r="Z169" s="4">
        <v>0.30999900000000002</v>
      </c>
    </row>
    <row r="170" spans="1:26" x14ac:dyDescent="0.2">
      <c r="A170" t="s">
        <v>197</v>
      </c>
      <c r="B170">
        <v>155.174072265625</v>
      </c>
      <c r="C170">
        <v>0</v>
      </c>
      <c r="D170">
        <v>132.331787109375</v>
      </c>
      <c r="E170">
        <v>47.087314605712898</v>
      </c>
      <c r="F170">
        <v>5.9541172981262198</v>
      </c>
      <c r="G170">
        <v>71.321609497070298</v>
      </c>
      <c r="H170">
        <v>119.633659362793</v>
      </c>
      <c r="I170">
        <v>38.462966918945298</v>
      </c>
      <c r="J170">
        <v>6</v>
      </c>
      <c r="K170">
        <v>18.0317268371582</v>
      </c>
      <c r="L170">
        <v>120</v>
      </c>
      <c r="M170">
        <v>0</v>
      </c>
      <c r="N170">
        <v>24.1449069976807</v>
      </c>
      <c r="O170">
        <v>50</v>
      </c>
      <c r="P170">
        <v>50.193855285644503</v>
      </c>
      <c r="Q170">
        <v>5.9541172981262198</v>
      </c>
      <c r="R170">
        <v>5.4541521072387704</v>
      </c>
      <c r="S170">
        <v>6.1999998092651403</v>
      </c>
      <c r="T170" s="4">
        <v>0.59208071231841997</v>
      </c>
      <c r="W170">
        <f t="shared" si="6"/>
        <v>8.5874024729025304</v>
      </c>
      <c r="X170" s="4">
        <f t="shared" si="7"/>
        <v>8.5874024729025304</v>
      </c>
      <c r="Y170" s="4">
        <f t="shared" si="8"/>
        <v>27.701387659000609</v>
      </c>
      <c r="Z170" s="4">
        <v>0.30999900000000002</v>
      </c>
    </row>
    <row r="171" spans="1:26" x14ac:dyDescent="0.2">
      <c r="A171" t="s">
        <v>198</v>
      </c>
      <c r="B171">
        <v>155.85461425781301</v>
      </c>
      <c r="C171">
        <v>0</v>
      </c>
      <c r="D171">
        <v>143.91738891601599</v>
      </c>
      <c r="E171">
        <v>46.937034606933601</v>
      </c>
      <c r="F171">
        <v>6.0922169685363796</v>
      </c>
      <c r="G171">
        <v>69.461418151855497</v>
      </c>
      <c r="H171">
        <v>118.59788513183599</v>
      </c>
      <c r="I171">
        <v>44.260158538818402</v>
      </c>
      <c r="J171">
        <v>6</v>
      </c>
      <c r="K171">
        <v>19.0988883972168</v>
      </c>
      <c r="L171">
        <v>120</v>
      </c>
      <c r="M171">
        <v>0</v>
      </c>
      <c r="N171">
        <v>24.777154922485401</v>
      </c>
      <c r="O171">
        <v>50</v>
      </c>
      <c r="P171">
        <v>50.829757690429702</v>
      </c>
      <c r="Q171">
        <v>6.0922169685363796</v>
      </c>
      <c r="R171">
        <v>3.1656625270843501</v>
      </c>
      <c r="S171">
        <v>6.1999998092651403</v>
      </c>
      <c r="T171" s="4">
        <v>0.54578441381454501</v>
      </c>
      <c r="U171">
        <v>8.4600000000000009</v>
      </c>
      <c r="V171">
        <v>7.74</v>
      </c>
      <c r="W171">
        <f t="shared" si="6"/>
        <v>7.9159316075509834</v>
      </c>
      <c r="X171" s="4">
        <f t="shared" si="7"/>
        <v>0.17593160755098314</v>
      </c>
      <c r="Y171" s="4">
        <f t="shared" si="8"/>
        <v>0.5675231454004146</v>
      </c>
      <c r="Z171" s="4">
        <v>0.30999900000000002</v>
      </c>
    </row>
    <row r="172" spans="1:26" x14ac:dyDescent="0.2">
      <c r="A172" t="s">
        <v>199</v>
      </c>
      <c r="B172">
        <v>155.24227905273401</v>
      </c>
      <c r="C172">
        <v>0</v>
      </c>
      <c r="D172">
        <v>132.52604675293</v>
      </c>
      <c r="E172">
        <v>47.397552490234403</v>
      </c>
      <c r="F172">
        <v>6.0254998207092303</v>
      </c>
      <c r="G172">
        <v>69.531723022460895</v>
      </c>
      <c r="H172">
        <v>120.56121063232401</v>
      </c>
      <c r="I172">
        <v>41.475311279296903</v>
      </c>
      <c r="J172">
        <v>6</v>
      </c>
      <c r="K172">
        <v>17.711551666259801</v>
      </c>
      <c r="L172">
        <v>120</v>
      </c>
      <c r="M172">
        <v>0</v>
      </c>
      <c r="N172">
        <v>23.3594856262207</v>
      </c>
      <c r="O172">
        <v>50</v>
      </c>
      <c r="P172">
        <v>49.491130828857401</v>
      </c>
      <c r="Q172">
        <v>6.0254998207092303</v>
      </c>
      <c r="R172">
        <v>8.1071672439575195</v>
      </c>
      <c r="S172">
        <v>6.1999998092651403</v>
      </c>
      <c r="T172" s="4">
        <v>0.55425047874450695</v>
      </c>
      <c r="U172">
        <v>9.41</v>
      </c>
      <c r="V172">
        <v>8.61</v>
      </c>
      <c r="W172">
        <f t="shared" si="6"/>
        <v>8.0387214661002169</v>
      </c>
      <c r="X172" s="4">
        <f t="shared" si="7"/>
        <v>-0.57127853389978256</v>
      </c>
      <c r="Y172" s="4">
        <f t="shared" si="8"/>
        <v>-1.8428399249667984</v>
      </c>
      <c r="Z172" s="4">
        <v>0.30999900000000002</v>
      </c>
    </row>
    <row r="173" spans="1:26" x14ac:dyDescent="0.2">
      <c r="A173" t="s">
        <v>200</v>
      </c>
      <c r="B173">
        <v>155.16467285156301</v>
      </c>
      <c r="C173">
        <v>0</v>
      </c>
      <c r="D173">
        <v>136.71061706543</v>
      </c>
      <c r="E173">
        <v>47.8747367858887</v>
      </c>
      <c r="F173">
        <v>5.9988226890564</v>
      </c>
      <c r="G173">
        <v>72.161964416503906</v>
      </c>
      <c r="H173">
        <v>120.31520843505901</v>
      </c>
      <c r="I173">
        <v>40.419704437255902</v>
      </c>
      <c r="J173">
        <v>6</v>
      </c>
      <c r="K173">
        <v>18.3394966125488</v>
      </c>
      <c r="L173">
        <v>120</v>
      </c>
      <c r="M173">
        <v>0</v>
      </c>
      <c r="N173">
        <v>23.733024597168001</v>
      </c>
      <c r="O173">
        <v>50</v>
      </c>
      <c r="P173">
        <v>49.936168670654297</v>
      </c>
      <c r="Q173">
        <v>5.9988226890564</v>
      </c>
      <c r="R173">
        <v>5.2252736091613796</v>
      </c>
      <c r="S173">
        <v>6.1999998092651403</v>
      </c>
      <c r="T173" s="4">
        <v>0.55416166782379195</v>
      </c>
      <c r="U173">
        <v>9.36</v>
      </c>
      <c r="V173">
        <v>8.56</v>
      </c>
      <c r="W173">
        <f t="shared" si="6"/>
        <v>8.0374333729326786</v>
      </c>
      <c r="X173" s="4">
        <f t="shared" si="7"/>
        <v>-0.52256662706732193</v>
      </c>
      <c r="Y173" s="4">
        <f t="shared" si="8"/>
        <v>-1.6857042347469569</v>
      </c>
      <c r="Z173" s="4">
        <v>0.30999900000000002</v>
      </c>
    </row>
    <row r="174" spans="1:26" x14ac:dyDescent="0.2">
      <c r="A174" t="s">
        <v>201</v>
      </c>
      <c r="B174">
        <v>155.624755859375</v>
      </c>
      <c r="C174">
        <v>0</v>
      </c>
      <c r="D174">
        <v>150.33425903320301</v>
      </c>
      <c r="E174">
        <v>46.885906219482401</v>
      </c>
      <c r="F174">
        <v>6.0032281875610396</v>
      </c>
      <c r="G174">
        <v>70.617477416992202</v>
      </c>
      <c r="H174">
        <v>120.206977844238</v>
      </c>
      <c r="I174">
        <v>42.969390869140597</v>
      </c>
      <c r="J174">
        <v>6</v>
      </c>
      <c r="K174">
        <v>18.2723178863525</v>
      </c>
      <c r="L174">
        <v>120</v>
      </c>
      <c r="M174">
        <v>0</v>
      </c>
      <c r="N174">
        <v>24.8464050292969</v>
      </c>
      <c r="O174">
        <v>50</v>
      </c>
      <c r="P174">
        <v>50.214153289794901</v>
      </c>
      <c r="Q174">
        <v>6.0032281875610396</v>
      </c>
      <c r="R174">
        <v>5.9253997802734402</v>
      </c>
      <c r="S174">
        <v>6.1999998092651403</v>
      </c>
      <c r="T174" s="4">
        <v>0.562980055809021</v>
      </c>
      <c r="U174">
        <v>9.49</v>
      </c>
      <c r="V174">
        <v>8.69</v>
      </c>
      <c r="W174">
        <f t="shared" si="6"/>
        <v>8.1653332440412036</v>
      </c>
      <c r="X174" s="4">
        <f t="shared" si="7"/>
        <v>-0.52466675595879586</v>
      </c>
      <c r="Y174" s="4">
        <f t="shared" si="8"/>
        <v>-1.6924788659279411</v>
      </c>
      <c r="Z174" s="4">
        <v>0.30999900000000002</v>
      </c>
    </row>
    <row r="175" spans="1:26" x14ac:dyDescent="0.2">
      <c r="A175" t="s">
        <v>202</v>
      </c>
      <c r="B175">
        <v>154.73989868164099</v>
      </c>
      <c r="C175">
        <v>0</v>
      </c>
      <c r="D175">
        <v>143.46530151367199</v>
      </c>
      <c r="E175">
        <v>47.202606201171903</v>
      </c>
      <c r="F175">
        <v>5.9618115425109899</v>
      </c>
      <c r="G175">
        <v>71.374656677246094</v>
      </c>
      <c r="H175">
        <v>120.15853881835901</v>
      </c>
      <c r="I175">
        <v>40.8379096984863</v>
      </c>
      <c r="J175">
        <v>6</v>
      </c>
      <c r="K175">
        <v>17.774452209472699</v>
      </c>
      <c r="L175">
        <v>120</v>
      </c>
      <c r="M175">
        <v>0</v>
      </c>
      <c r="N175">
        <v>23.9597263336182</v>
      </c>
      <c r="O175">
        <v>50</v>
      </c>
      <c r="P175">
        <v>50.275527954101598</v>
      </c>
      <c r="Q175">
        <v>5.9618115425109899</v>
      </c>
      <c r="R175">
        <v>6.5573410987854004</v>
      </c>
      <c r="S175">
        <v>6.1999998092651403</v>
      </c>
      <c r="T175" s="4">
        <v>0.55142635107040405</v>
      </c>
      <c r="U175">
        <v>9.3000000000000007</v>
      </c>
      <c r="V175">
        <v>8.51</v>
      </c>
      <c r="W175">
        <f t="shared" si="6"/>
        <v>7.9977609678643935</v>
      </c>
      <c r="X175" s="4">
        <f t="shared" si="7"/>
        <v>-0.51223903213560629</v>
      </c>
      <c r="Y175" s="4">
        <f t="shared" si="8"/>
        <v>-1.6523893049190683</v>
      </c>
      <c r="Z175" s="4">
        <v>0.30999900000000002</v>
      </c>
    </row>
    <row r="176" spans="1:26" x14ac:dyDescent="0.2">
      <c r="A176" t="s">
        <v>203</v>
      </c>
      <c r="B176">
        <v>155.187911987305</v>
      </c>
      <c r="C176">
        <v>0</v>
      </c>
      <c r="D176">
        <v>131.98873901367199</v>
      </c>
      <c r="E176">
        <v>46.4666137695313</v>
      </c>
      <c r="F176">
        <v>5.9943475723266602</v>
      </c>
      <c r="G176">
        <v>71.303550720214801</v>
      </c>
      <c r="H176">
        <v>121.47908782959</v>
      </c>
      <c r="I176">
        <v>41.8727416992188</v>
      </c>
      <c r="J176">
        <v>6</v>
      </c>
      <c r="K176">
        <v>17.2006511688232</v>
      </c>
      <c r="L176">
        <v>120</v>
      </c>
      <c r="M176">
        <v>0</v>
      </c>
      <c r="N176">
        <v>24.317701339721701</v>
      </c>
      <c r="O176">
        <v>50</v>
      </c>
      <c r="P176">
        <v>50.212581634521499</v>
      </c>
      <c r="Q176">
        <v>5.9943475723266602</v>
      </c>
      <c r="R176">
        <v>6.3984022140502903</v>
      </c>
      <c r="S176">
        <v>6.1999998092651403</v>
      </c>
      <c r="T176" s="4">
        <v>0.55431139469146695</v>
      </c>
      <c r="W176">
        <f t="shared" si="6"/>
        <v>8.0396049769842577</v>
      </c>
      <c r="X176" s="4">
        <f t="shared" si="7"/>
        <v>8.0396049769842577</v>
      </c>
      <c r="Y176" s="4">
        <f t="shared" si="8"/>
        <v>25.934293262185545</v>
      </c>
      <c r="Z176" s="4">
        <v>0.30999900000000002</v>
      </c>
    </row>
    <row r="177" spans="1:26" x14ac:dyDescent="0.2">
      <c r="A177" t="s">
        <v>204</v>
      </c>
      <c r="B177">
        <v>155.13493347168</v>
      </c>
      <c r="C177">
        <v>0</v>
      </c>
      <c r="D177">
        <v>155.60079956054699</v>
      </c>
      <c r="E177">
        <v>47.095184326171903</v>
      </c>
      <c r="F177">
        <v>6.0189251899719203</v>
      </c>
      <c r="G177">
        <v>74.245338439941406</v>
      </c>
      <c r="H177">
        <v>119.51050567627</v>
      </c>
      <c r="I177">
        <v>43.498737335205099</v>
      </c>
      <c r="J177">
        <v>6</v>
      </c>
      <c r="K177">
        <v>20.204057693481399</v>
      </c>
      <c r="L177">
        <v>120</v>
      </c>
      <c r="M177">
        <v>0</v>
      </c>
      <c r="N177">
        <v>23.917350769043001</v>
      </c>
      <c r="O177">
        <v>50</v>
      </c>
      <c r="P177">
        <v>49.770389556884801</v>
      </c>
      <c r="Q177">
        <v>6.0189251899719203</v>
      </c>
      <c r="R177">
        <v>7.91630363464356</v>
      </c>
      <c r="S177">
        <v>6.1999998092651403</v>
      </c>
      <c r="T177" s="4">
        <v>0.55694508552551303</v>
      </c>
      <c r="U177">
        <v>9.33</v>
      </c>
      <c r="V177">
        <v>8.5399999999999991</v>
      </c>
      <c r="W177">
        <f t="shared" si="6"/>
        <v>8.0778034230923694</v>
      </c>
      <c r="X177" s="4">
        <f t="shared" si="7"/>
        <v>-0.46219657690762972</v>
      </c>
      <c r="Y177" s="4">
        <f t="shared" si="8"/>
        <v>-1.4909615092552868</v>
      </c>
      <c r="Z177" s="4">
        <v>0.30999900000000002</v>
      </c>
    </row>
    <row r="178" spans="1:26" x14ac:dyDescent="0.2">
      <c r="A178" t="s">
        <v>205</v>
      </c>
      <c r="B178">
        <v>155.47059631347699</v>
      </c>
      <c r="C178">
        <v>0</v>
      </c>
      <c r="D178">
        <v>131.38229370117199</v>
      </c>
      <c r="E178">
        <v>46.929695129394503</v>
      </c>
      <c r="F178">
        <v>5.9536767005920401</v>
      </c>
      <c r="G178">
        <v>71.527435302734403</v>
      </c>
      <c r="H178">
        <v>119.76885986328099</v>
      </c>
      <c r="I178">
        <v>39.691860198974602</v>
      </c>
      <c r="J178">
        <v>6</v>
      </c>
      <c r="K178">
        <v>17.6671047210693</v>
      </c>
      <c r="L178">
        <v>120</v>
      </c>
      <c r="M178">
        <v>0</v>
      </c>
      <c r="N178">
        <v>22.790691375732401</v>
      </c>
      <c r="O178">
        <v>50</v>
      </c>
      <c r="P178">
        <v>49.9939575195313</v>
      </c>
      <c r="Q178">
        <v>5.9536767005920401</v>
      </c>
      <c r="R178">
        <v>5.9458036422729501</v>
      </c>
      <c r="S178">
        <v>6.1999998092651403</v>
      </c>
      <c r="T178" s="4">
        <v>0.54544174671173096</v>
      </c>
      <c r="U178">
        <v>9.34</v>
      </c>
      <c r="V178">
        <v>8.5500000000000007</v>
      </c>
      <c r="W178">
        <f t="shared" si="6"/>
        <v>7.9109616427052014</v>
      </c>
      <c r="X178" s="4">
        <f t="shared" si="7"/>
        <v>-0.6390383572947993</v>
      </c>
      <c r="Y178" s="4">
        <f t="shared" si="8"/>
        <v>-2.0614207055338865</v>
      </c>
      <c r="Z178" s="4">
        <v>0.30999900000000002</v>
      </c>
    </row>
    <row r="179" spans="1:26" x14ac:dyDescent="0.2">
      <c r="A179" t="s">
        <v>206</v>
      </c>
      <c r="B179">
        <v>155.47180175781301</v>
      </c>
      <c r="C179">
        <v>0</v>
      </c>
      <c r="D179">
        <v>154.02737426757801</v>
      </c>
      <c r="E179">
        <v>47.585994720458999</v>
      </c>
      <c r="F179">
        <v>5.9890174865722701</v>
      </c>
      <c r="G179">
        <v>72.841476440429702</v>
      </c>
      <c r="H179">
        <v>120.563613891602</v>
      </c>
      <c r="I179">
        <v>41.033657073974602</v>
      </c>
      <c r="J179">
        <v>6</v>
      </c>
      <c r="K179">
        <v>18.624498367309599</v>
      </c>
      <c r="L179">
        <v>120</v>
      </c>
      <c r="M179">
        <v>0</v>
      </c>
      <c r="N179">
        <v>22.707817077636701</v>
      </c>
      <c r="O179">
        <v>50</v>
      </c>
      <c r="P179">
        <v>49.527149200439503</v>
      </c>
      <c r="Q179">
        <v>5.9890174865722701</v>
      </c>
      <c r="R179">
        <v>6.1434459686279297</v>
      </c>
      <c r="S179">
        <v>6.1999998092651403</v>
      </c>
      <c r="T179" s="4">
        <v>0.54544174671173096</v>
      </c>
      <c r="U179">
        <v>9.5399999999999991</v>
      </c>
      <c r="V179">
        <v>8.73</v>
      </c>
      <c r="W179">
        <f t="shared" si="6"/>
        <v>7.9109616427052014</v>
      </c>
      <c r="X179" s="4">
        <f t="shared" si="7"/>
        <v>-0.81903835729479901</v>
      </c>
      <c r="Y179" s="4">
        <f t="shared" si="8"/>
        <v>-2.6420677398791574</v>
      </c>
      <c r="Z179" s="4">
        <v>0.30999900000000002</v>
      </c>
    </row>
    <row r="180" spans="1:26" x14ac:dyDescent="0.2">
      <c r="A180" t="s">
        <v>207</v>
      </c>
      <c r="B180">
        <v>155.35549926757801</v>
      </c>
      <c r="C180">
        <v>0</v>
      </c>
      <c r="D180">
        <v>136.61975097656301</v>
      </c>
      <c r="E180">
        <v>46.733901977539098</v>
      </c>
      <c r="F180">
        <v>6.0795364379882804</v>
      </c>
      <c r="G180">
        <v>71.950904846191406</v>
      </c>
      <c r="H180">
        <v>119.83737945556599</v>
      </c>
      <c r="I180">
        <v>43.795890808105497</v>
      </c>
      <c r="J180">
        <v>6</v>
      </c>
      <c r="K180">
        <v>17.7616291046143</v>
      </c>
      <c r="L180">
        <v>120</v>
      </c>
      <c r="M180">
        <v>0</v>
      </c>
      <c r="N180">
        <v>19.944196701049801</v>
      </c>
      <c r="O180">
        <v>50</v>
      </c>
      <c r="P180">
        <v>50.221641540527301</v>
      </c>
      <c r="Q180">
        <v>6.0795364379882804</v>
      </c>
      <c r="R180">
        <v>5.7201204299926802</v>
      </c>
      <c r="S180">
        <v>6.1999998092651403</v>
      </c>
      <c r="T180" s="4">
        <v>0.54544174671173096</v>
      </c>
      <c r="U180">
        <v>9.33</v>
      </c>
      <c r="V180">
        <v>8.5399999999999991</v>
      </c>
      <c r="W180">
        <f t="shared" si="6"/>
        <v>7.9109616427052014</v>
      </c>
      <c r="X180" s="4">
        <f t="shared" si="7"/>
        <v>-0.62903835729479773</v>
      </c>
      <c r="Y180" s="4">
        <f t="shared" si="8"/>
        <v>-2.0291625369591442</v>
      </c>
      <c r="Z180" s="4">
        <v>0.30999900000000002</v>
      </c>
    </row>
    <row r="181" spans="1:26" x14ac:dyDescent="0.2">
      <c r="A181" t="s">
        <v>208</v>
      </c>
      <c r="B181">
        <v>154.49867248535199</v>
      </c>
      <c r="C181">
        <v>0</v>
      </c>
      <c r="D181">
        <v>136.194412231445</v>
      </c>
      <c r="E181">
        <v>47.427963256835902</v>
      </c>
      <c r="F181">
        <v>5.9120039939880398</v>
      </c>
      <c r="G181">
        <v>73.569328308105497</v>
      </c>
      <c r="H181">
        <v>120.748733520508</v>
      </c>
      <c r="I181">
        <v>38.626071929931598</v>
      </c>
      <c r="J181">
        <v>6</v>
      </c>
      <c r="K181">
        <v>17.938804626464801</v>
      </c>
      <c r="L181">
        <v>120</v>
      </c>
      <c r="M181">
        <v>0.148627504706383</v>
      </c>
      <c r="N181">
        <v>19.437229156494102</v>
      </c>
      <c r="O181">
        <v>50</v>
      </c>
      <c r="P181">
        <v>49.844398498535199</v>
      </c>
      <c r="Q181">
        <v>5.9120039939880398</v>
      </c>
      <c r="R181">
        <v>3.5529806613922101</v>
      </c>
      <c r="S181">
        <v>6.1999998092651403</v>
      </c>
      <c r="T181" s="4">
        <v>0.54544174671173096</v>
      </c>
      <c r="U181">
        <v>9.33</v>
      </c>
      <c r="V181">
        <v>8.5399999999999991</v>
      </c>
      <c r="W181">
        <f t="shared" si="6"/>
        <v>7.9109616427052014</v>
      </c>
      <c r="X181" s="4">
        <f t="shared" si="7"/>
        <v>-0.62903835729479773</v>
      </c>
      <c r="Y181" s="4">
        <f t="shared" si="8"/>
        <v>-2.0291625369591442</v>
      </c>
      <c r="Z181" s="4">
        <v>0.30999900000000002</v>
      </c>
    </row>
    <row r="182" spans="1:26" x14ac:dyDescent="0.2">
      <c r="A182" t="s">
        <v>209</v>
      </c>
      <c r="B182">
        <v>154.59635925293</v>
      </c>
      <c r="C182">
        <v>0</v>
      </c>
      <c r="D182">
        <v>130.64155578613301</v>
      </c>
      <c r="E182">
        <v>47.275848388671903</v>
      </c>
      <c r="F182">
        <v>5.9488568305969203</v>
      </c>
      <c r="G182">
        <v>72.504203796386705</v>
      </c>
      <c r="H182">
        <v>120.71076965332</v>
      </c>
      <c r="I182">
        <v>40.909454345703097</v>
      </c>
      <c r="J182">
        <v>6</v>
      </c>
      <c r="K182">
        <v>17.5411376953125</v>
      </c>
      <c r="L182">
        <v>120</v>
      </c>
      <c r="M182">
        <v>0</v>
      </c>
      <c r="N182">
        <v>22.321001052856399</v>
      </c>
      <c r="O182">
        <v>50</v>
      </c>
      <c r="P182">
        <v>49.518119812011697</v>
      </c>
      <c r="Q182">
        <v>5.9488568305969203</v>
      </c>
      <c r="R182">
        <v>4.9290266036987296</v>
      </c>
      <c r="S182">
        <v>6.1999998092651403</v>
      </c>
      <c r="T182" s="4">
        <v>0.54544174671173096</v>
      </c>
      <c r="U182">
        <v>9.18</v>
      </c>
      <c r="V182">
        <v>8.4</v>
      </c>
      <c r="W182">
        <f t="shared" si="6"/>
        <v>7.9109616427052014</v>
      </c>
      <c r="X182" s="4">
        <f t="shared" si="7"/>
        <v>-0.48903835729479894</v>
      </c>
      <c r="Y182" s="4">
        <f t="shared" si="8"/>
        <v>-1.5775481769128252</v>
      </c>
      <c r="Z182" s="4">
        <v>0.30999900000000002</v>
      </c>
    </row>
    <row r="183" spans="1:26" x14ac:dyDescent="0.2">
      <c r="A183" t="s">
        <v>210</v>
      </c>
      <c r="B183">
        <v>154.76564025878901</v>
      </c>
      <c r="C183">
        <v>0</v>
      </c>
      <c r="D183">
        <v>155.22256469726599</v>
      </c>
      <c r="E183">
        <v>47.390796661377003</v>
      </c>
      <c r="F183">
        <v>6.1180877685546902</v>
      </c>
      <c r="G183">
        <v>73.288093566894503</v>
      </c>
      <c r="H183">
        <v>118.69789886474599</v>
      </c>
      <c r="I183">
        <v>46.3409614562988</v>
      </c>
      <c r="J183">
        <v>6</v>
      </c>
      <c r="K183">
        <v>19.581872940063501</v>
      </c>
      <c r="L183">
        <v>120</v>
      </c>
      <c r="M183">
        <v>0</v>
      </c>
      <c r="N183">
        <v>22.593706130981399</v>
      </c>
      <c r="O183">
        <v>50</v>
      </c>
      <c r="P183">
        <v>49.608238220214801</v>
      </c>
      <c r="Q183">
        <v>6.1180877685546902</v>
      </c>
      <c r="R183">
        <v>6.3062486648559597</v>
      </c>
      <c r="S183">
        <v>6.1999998092651403</v>
      </c>
      <c r="T183" s="4">
        <v>0.54544174671173096</v>
      </c>
      <c r="W183">
        <f t="shared" si="6"/>
        <v>7.9109616427052014</v>
      </c>
      <c r="X183" s="4">
        <f t="shared" si="7"/>
        <v>7.9109616427052014</v>
      </c>
      <c r="Y183" s="4">
        <f t="shared" si="8"/>
        <v>25.519313425866539</v>
      </c>
      <c r="Z183" s="4">
        <v>0.30999900000000002</v>
      </c>
    </row>
    <row r="184" spans="1:26" x14ac:dyDescent="0.2">
      <c r="A184" t="s">
        <v>211</v>
      </c>
      <c r="B184">
        <v>155.37765502929699</v>
      </c>
      <c r="C184">
        <v>0</v>
      </c>
      <c r="D184">
        <v>133.05648803710901</v>
      </c>
      <c r="E184">
        <v>46.896560668945298</v>
      </c>
      <c r="F184">
        <v>6.0583167076110804</v>
      </c>
      <c r="G184">
        <v>73.655776977539105</v>
      </c>
      <c r="H184">
        <v>119.865882873535</v>
      </c>
      <c r="I184">
        <v>43.569450378417997</v>
      </c>
      <c r="J184">
        <v>6</v>
      </c>
      <c r="K184">
        <v>18.074073791503899</v>
      </c>
      <c r="L184">
        <v>120</v>
      </c>
      <c r="M184">
        <v>0</v>
      </c>
      <c r="N184">
        <v>22.423841476440401</v>
      </c>
      <c r="O184">
        <v>50</v>
      </c>
      <c r="P184">
        <v>49.758750915527301</v>
      </c>
      <c r="Q184">
        <v>6.0583167076110804</v>
      </c>
      <c r="R184">
        <v>6.5869545936584499</v>
      </c>
      <c r="S184">
        <v>6.1999998092651403</v>
      </c>
      <c r="T184" s="4">
        <v>0.54544174671173096</v>
      </c>
      <c r="U184">
        <v>9.2899999999999991</v>
      </c>
      <c r="V184">
        <v>8.5</v>
      </c>
      <c r="W184">
        <f t="shared" si="6"/>
        <v>7.9109616427052014</v>
      </c>
      <c r="X184" s="4">
        <f t="shared" si="7"/>
        <v>-0.58903835729479859</v>
      </c>
      <c r="Y184" s="4">
        <f t="shared" si="8"/>
        <v>-1.9001298626601975</v>
      </c>
      <c r="Z184" s="4">
        <v>0.30999900000000002</v>
      </c>
    </row>
    <row r="185" spans="1:26" x14ac:dyDescent="0.2">
      <c r="A185" t="s">
        <v>212</v>
      </c>
      <c r="B185">
        <v>155.27110290527301</v>
      </c>
      <c r="C185">
        <v>0</v>
      </c>
      <c r="D185">
        <v>144.02490234375</v>
      </c>
      <c r="E185">
        <v>46.416770935058601</v>
      </c>
      <c r="F185">
        <v>5.9745731353759801</v>
      </c>
      <c r="G185">
        <v>71.755928039550795</v>
      </c>
      <c r="H185">
        <v>119.74331665039099</v>
      </c>
      <c r="I185">
        <v>41.632472991943402</v>
      </c>
      <c r="J185">
        <v>6</v>
      </c>
      <c r="K185">
        <v>18.2728672027588</v>
      </c>
      <c r="L185">
        <v>120</v>
      </c>
      <c r="M185">
        <v>0</v>
      </c>
      <c r="N185">
        <v>24.1305122375488</v>
      </c>
      <c r="O185">
        <v>50</v>
      </c>
      <c r="P185">
        <v>50.311019897460902</v>
      </c>
      <c r="Q185">
        <v>5.9745731353759801</v>
      </c>
      <c r="R185">
        <v>4.6365022659301802</v>
      </c>
      <c r="S185">
        <v>6.1999998092651403</v>
      </c>
      <c r="T185" s="4">
        <v>0.54544174671173096</v>
      </c>
      <c r="U185">
        <v>9.3699999999999992</v>
      </c>
      <c r="V185">
        <v>8.57</v>
      </c>
      <c r="W185">
        <f t="shared" si="6"/>
        <v>7.9109616427052014</v>
      </c>
      <c r="X185" s="4">
        <f t="shared" si="7"/>
        <v>-0.65903835729479887</v>
      </c>
      <c r="Y185" s="4">
        <f t="shared" si="8"/>
        <v>-2.1259370426833595</v>
      </c>
      <c r="Z185" s="4">
        <v>0.30999900000000002</v>
      </c>
    </row>
    <row r="186" spans="1:26" x14ac:dyDescent="0.2">
      <c r="A186" t="s">
        <v>213</v>
      </c>
      <c r="B186">
        <v>155.39910888671901</v>
      </c>
      <c r="C186">
        <v>0</v>
      </c>
      <c r="D186">
        <v>133.34066772460901</v>
      </c>
      <c r="E186">
        <v>46.984066009521499</v>
      </c>
      <c r="F186">
        <v>6.01995897293091</v>
      </c>
      <c r="G186">
        <v>74.143951416015597</v>
      </c>
      <c r="H186">
        <v>121.78515625</v>
      </c>
      <c r="I186">
        <v>42.353107452392599</v>
      </c>
      <c r="J186">
        <v>6</v>
      </c>
      <c r="K186">
        <v>16.17844581604</v>
      </c>
      <c r="L186">
        <v>120</v>
      </c>
      <c r="M186">
        <v>0</v>
      </c>
      <c r="N186">
        <v>22.6290283203125</v>
      </c>
      <c r="O186">
        <v>50</v>
      </c>
      <c r="P186">
        <v>49.656620025634801</v>
      </c>
      <c r="Q186">
        <v>6.01995897293091</v>
      </c>
      <c r="R186">
        <v>6.4580368995666504</v>
      </c>
      <c r="S186">
        <v>6.1999998092651403</v>
      </c>
      <c r="T186" s="4">
        <v>0.54544174671173096</v>
      </c>
      <c r="U186">
        <v>9.5</v>
      </c>
      <c r="V186">
        <v>8.67</v>
      </c>
      <c r="W186">
        <f t="shared" si="6"/>
        <v>7.9109616427052014</v>
      </c>
      <c r="X186" s="4">
        <f t="shared" si="7"/>
        <v>-0.75903835729479852</v>
      </c>
      <c r="Y186" s="4">
        <f t="shared" si="8"/>
        <v>-2.4485187284307317</v>
      </c>
      <c r="Z186" s="4">
        <v>0.30999900000000002</v>
      </c>
    </row>
    <row r="187" spans="1:26" x14ac:dyDescent="0.2">
      <c r="A187" t="s">
        <v>214</v>
      </c>
      <c r="B187">
        <v>156.19415283203099</v>
      </c>
      <c r="C187">
        <v>0</v>
      </c>
      <c r="D187">
        <v>135.18835449218801</v>
      </c>
      <c r="E187">
        <v>47.787620544433601</v>
      </c>
      <c r="F187">
        <v>6.0368819236755398</v>
      </c>
      <c r="G187">
        <v>74.775993347167997</v>
      </c>
      <c r="H187">
        <v>119.684120178223</v>
      </c>
      <c r="I187">
        <v>42.159782409667997</v>
      </c>
      <c r="J187">
        <v>6</v>
      </c>
      <c r="K187">
        <v>17.9392700195313</v>
      </c>
      <c r="L187">
        <v>120</v>
      </c>
      <c r="M187">
        <v>0</v>
      </c>
      <c r="N187">
        <v>22.960273742675799</v>
      </c>
      <c r="O187">
        <v>50</v>
      </c>
      <c r="P187">
        <v>50.183578491210902</v>
      </c>
      <c r="Q187">
        <v>6.0368819236755398</v>
      </c>
      <c r="R187">
        <v>6.0176982879638699</v>
      </c>
      <c r="S187">
        <v>6.1999998092651403</v>
      </c>
      <c r="T187" s="4">
        <v>0.54544174671173096</v>
      </c>
      <c r="U187">
        <v>10.11</v>
      </c>
      <c r="V187">
        <v>9.25</v>
      </c>
      <c r="W187">
        <f t="shared" si="6"/>
        <v>7.9109616427052014</v>
      </c>
      <c r="X187" s="4">
        <f t="shared" si="7"/>
        <v>-1.3390383572947986</v>
      </c>
      <c r="Y187" s="4">
        <f t="shared" si="8"/>
        <v>-4.3194925057654974</v>
      </c>
      <c r="Z187" s="4">
        <v>0.30999900000000002</v>
      </c>
    </row>
    <row r="188" spans="1:26" x14ac:dyDescent="0.2">
      <c r="A188" t="s">
        <v>215</v>
      </c>
      <c r="B188">
        <v>155.43365478515599</v>
      </c>
      <c r="C188">
        <v>0</v>
      </c>
      <c r="D188">
        <v>162.64665222168</v>
      </c>
      <c r="E188">
        <v>48.019199371337898</v>
      </c>
      <c r="F188">
        <v>6.0666818618774396</v>
      </c>
      <c r="G188">
        <v>70.546142578125</v>
      </c>
      <c r="H188">
        <v>119.486610412598</v>
      </c>
      <c r="I188">
        <v>45.503166198730497</v>
      </c>
      <c r="J188">
        <v>6</v>
      </c>
      <c r="K188">
        <v>19.178352355956999</v>
      </c>
      <c r="L188">
        <v>120</v>
      </c>
      <c r="M188">
        <v>0</v>
      </c>
      <c r="N188">
        <v>24.714513778686499</v>
      </c>
      <c r="O188">
        <v>50</v>
      </c>
      <c r="P188">
        <v>50.601871490478501</v>
      </c>
      <c r="Q188">
        <v>6.0666818618774396</v>
      </c>
      <c r="R188">
        <v>7.9487609863281303</v>
      </c>
      <c r="S188">
        <v>6.1999998092651403</v>
      </c>
      <c r="T188" s="4">
        <v>0.54544174671173096</v>
      </c>
      <c r="U188">
        <v>9.4499999999999993</v>
      </c>
      <c r="V188">
        <v>8.65</v>
      </c>
      <c r="W188">
        <f t="shared" si="6"/>
        <v>7.9109616427052014</v>
      </c>
      <c r="X188" s="4">
        <f t="shared" si="7"/>
        <v>-0.73903835729479894</v>
      </c>
      <c r="Y188" s="4">
        <f t="shared" si="8"/>
        <v>-2.3840023912812587</v>
      </c>
      <c r="Z188" s="4">
        <v>0.30999900000000002</v>
      </c>
    </row>
    <row r="189" spans="1:26" x14ac:dyDescent="0.2">
      <c r="A189" t="s">
        <v>216</v>
      </c>
      <c r="B189">
        <v>155.27882385253901</v>
      </c>
      <c r="C189">
        <v>0</v>
      </c>
      <c r="D189">
        <v>134.42282104492199</v>
      </c>
      <c r="E189">
        <v>47.957614898681598</v>
      </c>
      <c r="F189">
        <v>5.9796056747436497</v>
      </c>
      <c r="G189">
        <v>74.921928405761705</v>
      </c>
      <c r="H189">
        <v>121.211372375488</v>
      </c>
      <c r="I189">
        <v>41.221237182617202</v>
      </c>
      <c r="J189">
        <v>6</v>
      </c>
      <c r="K189">
        <v>16.3528537750244</v>
      </c>
      <c r="L189">
        <v>120</v>
      </c>
      <c r="M189">
        <v>0</v>
      </c>
      <c r="N189">
        <v>22.951564788818398</v>
      </c>
      <c r="O189">
        <v>50</v>
      </c>
      <c r="P189">
        <v>49.624294281005902</v>
      </c>
      <c r="Q189">
        <v>5.9796056747436497</v>
      </c>
      <c r="R189">
        <v>5.9624810218811</v>
      </c>
      <c r="S189">
        <v>6.1999998092651403</v>
      </c>
      <c r="T189" s="4">
        <v>0.54544174671173096</v>
      </c>
      <c r="U189">
        <v>9.36</v>
      </c>
      <c r="V189">
        <v>8.57</v>
      </c>
      <c r="W189">
        <f t="shared" si="6"/>
        <v>7.9109616427052014</v>
      </c>
      <c r="X189" s="4">
        <f t="shared" si="7"/>
        <v>-0.65903835729479887</v>
      </c>
      <c r="Y189" s="4">
        <f t="shared" si="8"/>
        <v>-2.1259370426833595</v>
      </c>
      <c r="Z189" s="4">
        <v>0.30999900000000002</v>
      </c>
    </row>
    <row r="190" spans="1:26" x14ac:dyDescent="0.2">
      <c r="A190" t="s">
        <v>217</v>
      </c>
      <c r="B190">
        <v>155.071701049805</v>
      </c>
      <c r="C190">
        <v>0</v>
      </c>
      <c r="D190">
        <v>134.84086608886699</v>
      </c>
      <c r="E190">
        <v>48.045886993408203</v>
      </c>
      <c r="F190">
        <v>5.98964500427246</v>
      </c>
      <c r="G190">
        <v>72.059173583984403</v>
      </c>
      <c r="H190">
        <v>120.13662719726599</v>
      </c>
      <c r="I190">
        <v>41.747093200683601</v>
      </c>
      <c r="J190">
        <v>6</v>
      </c>
      <c r="K190">
        <v>17.694810867309599</v>
      </c>
      <c r="L190">
        <v>120</v>
      </c>
      <c r="M190">
        <v>0</v>
      </c>
      <c r="N190">
        <v>21.436113357543899</v>
      </c>
      <c r="O190">
        <v>50</v>
      </c>
      <c r="P190">
        <v>48.854671478271499</v>
      </c>
      <c r="Q190">
        <v>5.98964500427246</v>
      </c>
      <c r="R190">
        <v>7.1829466819763201</v>
      </c>
      <c r="S190">
        <v>6.1999998092651403</v>
      </c>
      <c r="T190" s="4">
        <v>0.54544174671173096</v>
      </c>
      <c r="U190">
        <v>9.0500000000000007</v>
      </c>
      <c r="V190">
        <v>8.2799999999999994</v>
      </c>
      <c r="W190">
        <f t="shared" si="6"/>
        <v>7.9109616427052014</v>
      </c>
      <c r="X190" s="4">
        <f t="shared" si="7"/>
        <v>-0.36903835729479795</v>
      </c>
      <c r="Y190" s="4">
        <f t="shared" si="8"/>
        <v>-1.190450154015974</v>
      </c>
      <c r="Z190" s="4">
        <v>0.30999900000000002</v>
      </c>
    </row>
    <row r="191" spans="1:26" x14ac:dyDescent="0.2">
      <c r="A191" t="s">
        <v>218</v>
      </c>
      <c r="B191">
        <v>154.96519470214801</v>
      </c>
      <c r="C191">
        <v>0</v>
      </c>
      <c r="D191">
        <v>137.03016662597699</v>
      </c>
      <c r="E191">
        <v>47.145381927490199</v>
      </c>
      <c r="F191">
        <v>5.9930534362793004</v>
      </c>
      <c r="G191">
        <v>74.645362854003906</v>
      </c>
      <c r="H191">
        <v>120.00380706787099</v>
      </c>
      <c r="I191">
        <v>42.254432678222699</v>
      </c>
      <c r="J191">
        <v>6</v>
      </c>
      <c r="K191">
        <v>17.828269958496101</v>
      </c>
      <c r="L191">
        <v>120</v>
      </c>
      <c r="M191">
        <v>0</v>
      </c>
      <c r="N191">
        <v>23.706621170043899</v>
      </c>
      <c r="O191">
        <v>50</v>
      </c>
      <c r="P191">
        <v>49.791374206542997</v>
      </c>
      <c r="Q191">
        <v>5.9930534362793004</v>
      </c>
      <c r="R191">
        <v>6.8330860137939498</v>
      </c>
      <c r="S191">
        <v>6.1999998092651403</v>
      </c>
      <c r="T191" s="4">
        <v>0.54544174671173096</v>
      </c>
      <c r="U191">
        <v>10.01</v>
      </c>
      <c r="V191">
        <v>9.17</v>
      </c>
      <c r="W191">
        <f t="shared" si="6"/>
        <v>7.9109616427052014</v>
      </c>
      <c r="X191" s="4">
        <f t="shared" si="7"/>
        <v>-1.2590383572947985</v>
      </c>
      <c r="Y191" s="4">
        <f t="shared" si="8"/>
        <v>-4.0614271571675991</v>
      </c>
      <c r="Z191" s="4">
        <v>0.30999900000000002</v>
      </c>
    </row>
    <row r="192" spans="1:26" x14ac:dyDescent="0.2">
      <c r="A192" t="s">
        <v>219</v>
      </c>
      <c r="B192">
        <v>155.38053894043</v>
      </c>
      <c r="C192">
        <v>0</v>
      </c>
      <c r="D192">
        <v>147.62362670898401</v>
      </c>
      <c r="E192">
        <v>47.912914276123097</v>
      </c>
      <c r="F192">
        <v>5.9575657844543501</v>
      </c>
      <c r="G192">
        <v>72.103309631347699</v>
      </c>
      <c r="H192">
        <v>120.53488922119099</v>
      </c>
      <c r="I192">
        <v>41.254299163818402</v>
      </c>
      <c r="J192">
        <v>6</v>
      </c>
      <c r="K192">
        <v>18.6005249023438</v>
      </c>
      <c r="L192">
        <v>120</v>
      </c>
      <c r="M192">
        <v>0</v>
      </c>
      <c r="N192">
        <v>23.908607482910199</v>
      </c>
      <c r="O192">
        <v>50</v>
      </c>
      <c r="P192">
        <v>50.776481628417997</v>
      </c>
      <c r="Q192">
        <v>5.9517087936401403</v>
      </c>
      <c r="R192">
        <v>7.8594737052917498</v>
      </c>
      <c r="S192">
        <v>6.1999998092651403</v>
      </c>
      <c r="T192" s="4">
        <v>0.54544174671173096</v>
      </c>
      <c r="U192">
        <v>9.11</v>
      </c>
      <c r="V192">
        <v>8.34</v>
      </c>
      <c r="W192">
        <f t="shared" si="6"/>
        <v>7.9109616427052014</v>
      </c>
      <c r="X192" s="4">
        <f t="shared" si="7"/>
        <v>-0.42903835729479844</v>
      </c>
      <c r="Y192" s="4">
        <f t="shared" si="8"/>
        <v>-1.3839991654643995</v>
      </c>
      <c r="Z192" s="4">
        <v>0.30999900000000002</v>
      </c>
    </row>
    <row r="193" spans="1:26" x14ac:dyDescent="0.2">
      <c r="A193" t="s">
        <v>220</v>
      </c>
      <c r="B193">
        <v>155.19586181640599</v>
      </c>
      <c r="C193">
        <v>0</v>
      </c>
      <c r="D193">
        <v>145.06472778320301</v>
      </c>
      <c r="E193">
        <v>47.938209533691399</v>
      </c>
      <c r="F193">
        <v>5.9810066223144496</v>
      </c>
      <c r="G193">
        <v>74.880409240722699</v>
      </c>
      <c r="H193">
        <v>120.45680999755901</v>
      </c>
      <c r="I193">
        <v>40.757770538330099</v>
      </c>
      <c r="J193">
        <v>6</v>
      </c>
      <c r="K193">
        <v>18.209470748901399</v>
      </c>
      <c r="L193">
        <v>120</v>
      </c>
      <c r="M193">
        <v>0</v>
      </c>
      <c r="N193">
        <v>23.2028102874756</v>
      </c>
      <c r="O193">
        <v>50</v>
      </c>
      <c r="P193">
        <v>49.554328918457003</v>
      </c>
      <c r="Q193">
        <v>5.9808421134948704</v>
      </c>
      <c r="R193">
        <v>8.6188297271728498</v>
      </c>
      <c r="S193">
        <v>6.1999998092651403</v>
      </c>
      <c r="T193" s="4">
        <v>0.62269699573516901</v>
      </c>
      <c r="U193">
        <v>9.24</v>
      </c>
      <c r="V193">
        <v>8.4600000000000009</v>
      </c>
      <c r="W193">
        <f t="shared" si="6"/>
        <v>9.0314540058338721</v>
      </c>
      <c r="X193" s="4">
        <f t="shared" si="7"/>
        <v>0.57145400583387129</v>
      </c>
      <c r="Y193" s="4">
        <f t="shared" si="8"/>
        <v>1.8434059652897954</v>
      </c>
      <c r="Z193" s="4">
        <v>0.30999900000000002</v>
      </c>
    </row>
    <row r="194" spans="1:26" x14ac:dyDescent="0.2">
      <c r="A194" t="s">
        <v>221</v>
      </c>
      <c r="B194">
        <v>155.57255554199199</v>
      </c>
      <c r="C194">
        <v>0</v>
      </c>
      <c r="D194">
        <v>146.86283874511699</v>
      </c>
      <c r="E194">
        <v>47.371490478515597</v>
      </c>
      <c r="F194">
        <v>6.0235266685485804</v>
      </c>
      <c r="G194">
        <v>71.850059509277301</v>
      </c>
      <c r="H194">
        <v>120.091743469238</v>
      </c>
      <c r="I194">
        <v>43.892715454101598</v>
      </c>
      <c r="J194">
        <v>6</v>
      </c>
      <c r="K194">
        <v>17.9751377105713</v>
      </c>
      <c r="L194">
        <v>120</v>
      </c>
      <c r="M194">
        <v>0</v>
      </c>
      <c r="N194">
        <v>23.6880912780762</v>
      </c>
      <c r="O194">
        <v>50</v>
      </c>
      <c r="P194">
        <v>49.989292144775398</v>
      </c>
      <c r="Q194">
        <v>6.0203084945678702</v>
      </c>
      <c r="R194">
        <v>5.9679679870605504</v>
      </c>
      <c r="S194">
        <v>6.1999998092651403</v>
      </c>
      <c r="T194" s="4">
        <v>0.62558621168136597</v>
      </c>
      <c r="W194">
        <f t="shared" si="6"/>
        <v>9.0733585293978454</v>
      </c>
      <c r="X194" s="4">
        <f t="shared" si="7"/>
        <v>9.0733585293978454</v>
      </c>
      <c r="Y194" s="4">
        <f t="shared" si="8"/>
        <v>29.268992898034654</v>
      </c>
      <c r="Z194" s="4">
        <v>0.30999900000000002</v>
      </c>
    </row>
    <row r="195" spans="1:26" x14ac:dyDescent="0.2">
      <c r="A195" t="s">
        <v>222</v>
      </c>
      <c r="B195">
        <v>155.16787719726599</v>
      </c>
      <c r="C195">
        <v>0</v>
      </c>
      <c r="D195">
        <v>171.69024658203099</v>
      </c>
      <c r="E195">
        <v>46.930263519287102</v>
      </c>
      <c r="F195">
        <v>5.99666500091553</v>
      </c>
      <c r="G195">
        <v>71.911972045898395</v>
      </c>
      <c r="H195">
        <v>118.81951141357401</v>
      </c>
      <c r="I195">
        <v>41.599609375</v>
      </c>
      <c r="J195">
        <v>6</v>
      </c>
      <c r="K195">
        <v>20.154487609863299</v>
      </c>
      <c r="L195">
        <v>120</v>
      </c>
      <c r="M195">
        <v>0</v>
      </c>
      <c r="N195">
        <v>23.4593906402588</v>
      </c>
      <c r="O195">
        <v>50</v>
      </c>
      <c r="P195">
        <v>50.300792694091797</v>
      </c>
      <c r="Q195">
        <v>5.99424505233765</v>
      </c>
      <c r="R195">
        <v>5.2695107460021999</v>
      </c>
      <c r="S195">
        <v>6.1999998092651403</v>
      </c>
      <c r="T195" s="4">
        <v>0.64200234413146995</v>
      </c>
      <c r="W195">
        <f t="shared" si="6"/>
        <v>9.3114543387436903</v>
      </c>
      <c r="X195" s="4">
        <f t="shared" si="7"/>
        <v>9.3114543387436903</v>
      </c>
      <c r="Y195" s="4">
        <f t="shared" si="8"/>
        <v>30.037046373516333</v>
      </c>
      <c r="Z195" s="4">
        <v>0.30999900000000002</v>
      </c>
    </row>
    <row r="196" spans="1:26" x14ac:dyDescent="0.2">
      <c r="A196" t="s">
        <v>223</v>
      </c>
      <c r="B196">
        <v>157.10487365722699</v>
      </c>
      <c r="C196">
        <v>0</v>
      </c>
      <c r="D196">
        <v>157.8427734375</v>
      </c>
      <c r="E196">
        <v>48.318252563476598</v>
      </c>
      <c r="F196">
        <v>5.9512348175048801</v>
      </c>
      <c r="G196">
        <v>71.455062866210895</v>
      </c>
      <c r="H196">
        <v>119.84984588623</v>
      </c>
      <c r="I196">
        <v>36.970817565917997</v>
      </c>
      <c r="J196">
        <v>6</v>
      </c>
      <c r="K196">
        <v>19.0244026184082</v>
      </c>
      <c r="L196">
        <v>120</v>
      </c>
      <c r="M196">
        <v>0</v>
      </c>
      <c r="N196">
        <v>22.712947845458999</v>
      </c>
      <c r="O196">
        <v>50</v>
      </c>
      <c r="P196">
        <v>49.699069976806598</v>
      </c>
      <c r="Q196">
        <v>5.9553928375244096</v>
      </c>
      <c r="R196">
        <v>6.1843781471252397</v>
      </c>
      <c r="S196">
        <v>6.1999998092651403</v>
      </c>
      <c r="T196" s="4">
        <v>0.60341340303420998</v>
      </c>
      <c r="U196">
        <v>9.48</v>
      </c>
      <c r="V196">
        <v>8.48</v>
      </c>
      <c r="W196">
        <f t="shared" si="6"/>
        <v>8.7517692125254829</v>
      </c>
      <c r="X196" s="4">
        <f t="shared" si="7"/>
        <v>0.27176921252548247</v>
      </c>
      <c r="Y196" s="4">
        <f t="shared" si="8"/>
        <v>0.87667770710706305</v>
      </c>
      <c r="Z196" s="4">
        <v>0.30999900000000002</v>
      </c>
    </row>
    <row r="197" spans="1:26" x14ac:dyDescent="0.2">
      <c r="A197" t="s">
        <v>224</v>
      </c>
      <c r="B197">
        <v>155.67741394043</v>
      </c>
      <c r="C197">
        <v>0</v>
      </c>
      <c r="D197">
        <v>165.62203979492199</v>
      </c>
      <c r="E197">
        <v>48.095294952392599</v>
      </c>
      <c r="F197">
        <v>6.0136475563049299</v>
      </c>
      <c r="G197">
        <v>73.320762634277301</v>
      </c>
      <c r="H197">
        <v>120.047500610352</v>
      </c>
      <c r="I197">
        <v>41.2817192077637</v>
      </c>
      <c r="J197">
        <v>6</v>
      </c>
      <c r="K197">
        <v>19.468482971191399</v>
      </c>
      <c r="L197">
        <v>120</v>
      </c>
      <c r="M197">
        <v>0</v>
      </c>
      <c r="N197">
        <v>22.489906311035199</v>
      </c>
      <c r="O197">
        <v>50</v>
      </c>
      <c r="P197">
        <v>49.360466003417997</v>
      </c>
      <c r="Q197">
        <v>6.0115284919738796</v>
      </c>
      <c r="R197">
        <v>8.6598596572875994</v>
      </c>
      <c r="S197">
        <v>6.1999998092651403</v>
      </c>
      <c r="T197" s="4">
        <v>0.61964237689971902</v>
      </c>
      <c r="W197">
        <f t="shared" si="6"/>
        <v>8.9871505168068371</v>
      </c>
      <c r="X197" s="4">
        <f t="shared" si="7"/>
        <v>8.9871505168068371</v>
      </c>
      <c r="Y197" s="4">
        <f t="shared" si="8"/>
        <v>28.990901637769273</v>
      </c>
      <c r="Z197" s="4">
        <v>0.30999900000000002</v>
      </c>
    </row>
    <row r="198" spans="1:26" x14ac:dyDescent="0.2">
      <c r="A198" t="s">
        <v>225</v>
      </c>
      <c r="B198">
        <v>155.16929626464801</v>
      </c>
      <c r="C198">
        <v>0</v>
      </c>
      <c r="D198">
        <v>157.9619140625</v>
      </c>
      <c r="E198">
        <v>47.699375152587898</v>
      </c>
      <c r="F198">
        <v>6.0927472114562997</v>
      </c>
      <c r="G198">
        <v>69.976890563964801</v>
      </c>
      <c r="H198">
        <v>119.71792602539099</v>
      </c>
      <c r="I198">
        <v>45.082275390625</v>
      </c>
      <c r="J198">
        <v>6</v>
      </c>
      <c r="K198">
        <v>19.642929077148398</v>
      </c>
      <c r="L198">
        <v>120</v>
      </c>
      <c r="M198">
        <v>0</v>
      </c>
      <c r="N198">
        <v>23.2450046539307</v>
      </c>
      <c r="O198">
        <v>50</v>
      </c>
      <c r="P198">
        <v>50.328056335449197</v>
      </c>
      <c r="Q198">
        <v>6.0869517326354998</v>
      </c>
      <c r="R198">
        <v>3.6492013931274401</v>
      </c>
      <c r="S198">
        <v>6.1999998092651403</v>
      </c>
      <c r="T198" s="4">
        <v>0.64510601758956898</v>
      </c>
      <c r="U198">
        <v>9.2200000000000006</v>
      </c>
      <c r="V198">
        <v>8.44</v>
      </c>
      <c r="W198">
        <f t="shared" ref="W198:W235" si="9">T198*14.50377</f>
        <v>9.3564693047350627</v>
      </c>
      <c r="X198" s="4">
        <f t="shared" ref="X198:X235" si="10">+W198-V198</f>
        <v>0.91646930473506316</v>
      </c>
      <c r="Y198" s="4">
        <f t="shared" ref="Y198:Y235" si="11">+X198/Z198</f>
        <v>2.956362132571599</v>
      </c>
      <c r="Z198" s="4">
        <v>0.30999900000000002</v>
      </c>
    </row>
    <row r="199" spans="1:26" x14ac:dyDescent="0.2">
      <c r="A199" t="s">
        <v>226</v>
      </c>
      <c r="B199">
        <v>155.27781677246099</v>
      </c>
      <c r="C199">
        <v>0</v>
      </c>
      <c r="D199">
        <v>157.36267089843801</v>
      </c>
      <c r="E199">
        <v>48.515575408935597</v>
      </c>
      <c r="F199">
        <v>6.0016026496887198</v>
      </c>
      <c r="G199">
        <v>72.316696166992202</v>
      </c>
      <c r="H199">
        <v>119.51873779296901</v>
      </c>
      <c r="I199">
        <v>41.396949768066399</v>
      </c>
      <c r="J199">
        <v>6</v>
      </c>
      <c r="K199">
        <v>20.013858795166001</v>
      </c>
      <c r="L199">
        <v>120</v>
      </c>
      <c r="M199">
        <v>0</v>
      </c>
      <c r="N199">
        <v>22.664392471313501</v>
      </c>
      <c r="O199">
        <v>50</v>
      </c>
      <c r="P199">
        <v>49.6912231445313</v>
      </c>
      <c r="Q199">
        <v>6.0014781951904297</v>
      </c>
      <c r="R199">
        <v>5.1239933967590297</v>
      </c>
      <c r="S199">
        <v>6.1999998092651403</v>
      </c>
      <c r="T199" s="4">
        <v>0.64570116996765103</v>
      </c>
      <c r="U199">
        <v>9.3800000000000008</v>
      </c>
      <c r="V199">
        <v>8.59</v>
      </c>
      <c r="W199">
        <f t="shared" si="9"/>
        <v>9.365101257941717</v>
      </c>
      <c r="X199" s="4">
        <f t="shared" si="10"/>
        <v>0.77510125794171714</v>
      </c>
      <c r="Y199" s="4">
        <f t="shared" si="11"/>
        <v>2.5003347041174879</v>
      </c>
      <c r="Z199" s="4">
        <v>0.30999900000000002</v>
      </c>
    </row>
    <row r="200" spans="1:26" x14ac:dyDescent="0.2">
      <c r="A200" t="s">
        <v>227</v>
      </c>
      <c r="B200">
        <v>155.020431518555</v>
      </c>
      <c r="C200">
        <v>0</v>
      </c>
      <c r="D200">
        <v>173.24443054199199</v>
      </c>
      <c r="E200">
        <v>48.437309265136697</v>
      </c>
      <c r="F200">
        <v>6.1259713172912598</v>
      </c>
      <c r="G200">
        <v>70.270568847656307</v>
      </c>
      <c r="H200">
        <v>117.802452087402</v>
      </c>
      <c r="I200">
        <v>38.958724975585902</v>
      </c>
      <c r="J200">
        <v>6.0999870300293004</v>
      </c>
      <c r="K200">
        <v>20.284307479858398</v>
      </c>
      <c r="L200">
        <v>120.000526428223</v>
      </c>
      <c r="M200">
        <v>0</v>
      </c>
      <c r="N200">
        <v>24.620267868041999</v>
      </c>
      <c r="O200">
        <v>50</v>
      </c>
      <c r="P200">
        <v>50.6602172851563</v>
      </c>
      <c r="Q200">
        <v>6.1250848770141602</v>
      </c>
      <c r="R200">
        <v>6.2568221092224103</v>
      </c>
      <c r="S200">
        <v>6.29998731613159</v>
      </c>
      <c r="T200" s="4">
        <v>0.64806401729583696</v>
      </c>
      <c r="U200">
        <v>9.43</v>
      </c>
      <c r="V200">
        <v>8.6300000000000008</v>
      </c>
      <c r="W200">
        <f t="shared" si="9"/>
        <v>9.3993714521348402</v>
      </c>
      <c r="X200" s="4">
        <f t="shared" si="10"/>
        <v>0.76937145213483937</v>
      </c>
      <c r="Y200" s="4">
        <f t="shared" si="11"/>
        <v>2.4818513999556107</v>
      </c>
      <c r="Z200" s="4">
        <v>0.30999900000000002</v>
      </c>
    </row>
    <row r="201" spans="1:26" x14ac:dyDescent="0.2">
      <c r="A201" t="s">
        <v>228</v>
      </c>
      <c r="B201">
        <v>155.94253540039099</v>
      </c>
      <c r="C201">
        <v>0</v>
      </c>
      <c r="D201">
        <v>139.45999145507801</v>
      </c>
      <c r="E201">
        <v>47.142105102539098</v>
      </c>
      <c r="F201">
        <v>6.0931711196899396</v>
      </c>
      <c r="G201">
        <v>72.597305297851605</v>
      </c>
      <c r="H201">
        <v>121.14992523193401</v>
      </c>
      <c r="I201">
        <v>39.123302459716797</v>
      </c>
      <c r="J201">
        <v>6.0999870300293004</v>
      </c>
      <c r="K201">
        <v>17.787603378295898</v>
      </c>
      <c r="L201">
        <v>120.00018310546901</v>
      </c>
      <c r="M201">
        <v>0</v>
      </c>
      <c r="N201">
        <v>23.648433685302699</v>
      </c>
      <c r="O201">
        <v>50</v>
      </c>
      <c r="P201">
        <v>50.718246459960902</v>
      </c>
      <c r="Q201">
        <v>6.0905241966247603</v>
      </c>
      <c r="R201">
        <v>5.3421382904052699</v>
      </c>
      <c r="S201">
        <v>6.29998731613159</v>
      </c>
      <c r="T201" s="4">
        <v>0.59195840358734098</v>
      </c>
      <c r="U201">
        <v>9.39</v>
      </c>
      <c r="V201">
        <v>8.58</v>
      </c>
      <c r="W201">
        <f t="shared" si="9"/>
        <v>8.5856285351979675</v>
      </c>
      <c r="X201" s="4">
        <f t="shared" si="10"/>
        <v>5.6285351979674658E-3</v>
      </c>
      <c r="Y201" s="4">
        <f t="shared" si="11"/>
        <v>1.815662372448771E-2</v>
      </c>
      <c r="Z201" s="4">
        <v>0.30999900000000002</v>
      </c>
    </row>
    <row r="202" spans="1:26" x14ac:dyDescent="0.2">
      <c r="A202" t="s">
        <v>229</v>
      </c>
      <c r="B202">
        <v>156.02650451660199</v>
      </c>
      <c r="C202">
        <v>0</v>
      </c>
      <c r="D202">
        <v>165.71841430664099</v>
      </c>
      <c r="E202">
        <v>48.110687255859403</v>
      </c>
      <c r="F202">
        <v>6.1211881637573198</v>
      </c>
      <c r="G202">
        <v>72.338088989257798</v>
      </c>
      <c r="H202">
        <v>120.03256988525401</v>
      </c>
      <c r="I202">
        <v>40.131099700927699</v>
      </c>
      <c r="J202">
        <v>6.0999999046325701</v>
      </c>
      <c r="K202">
        <v>21.456844329833999</v>
      </c>
      <c r="L202">
        <v>120.000534057617</v>
      </c>
      <c r="M202">
        <v>0</v>
      </c>
      <c r="N202">
        <v>24.6506443023682</v>
      </c>
      <c r="O202">
        <v>50</v>
      </c>
      <c r="P202">
        <v>50.238662719726598</v>
      </c>
      <c r="Q202">
        <v>6.1223602294921902</v>
      </c>
      <c r="R202">
        <v>5.0566310882568404</v>
      </c>
      <c r="S202">
        <v>6.3000001907348597</v>
      </c>
      <c r="T202" s="4">
        <v>0.60353147983551003</v>
      </c>
      <c r="U202">
        <v>9.52</v>
      </c>
      <c r="V202">
        <v>8.81</v>
      </c>
      <c r="W202">
        <f t="shared" si="9"/>
        <v>8.7534817712938757</v>
      </c>
      <c r="X202" s="4">
        <f t="shared" si="10"/>
        <v>-5.6518228706124773E-2</v>
      </c>
      <c r="Y202" s="4">
        <f t="shared" si="11"/>
        <v>-0.18231745491477316</v>
      </c>
      <c r="Z202" s="4">
        <v>0.30999900000000002</v>
      </c>
    </row>
    <row r="203" spans="1:26" x14ac:dyDescent="0.2">
      <c r="A203" t="s">
        <v>230</v>
      </c>
      <c r="B203">
        <v>155.01976013183599</v>
      </c>
      <c r="C203">
        <v>0</v>
      </c>
      <c r="D203">
        <v>143.50326538085901</v>
      </c>
      <c r="E203">
        <v>48.078163146972699</v>
      </c>
      <c r="F203">
        <v>6.0343770980834996</v>
      </c>
      <c r="G203">
        <v>71.560600280761705</v>
      </c>
      <c r="H203">
        <v>121.09561157226599</v>
      </c>
      <c r="I203">
        <v>36.941188812255902</v>
      </c>
      <c r="J203">
        <v>6.0999999046325701</v>
      </c>
      <c r="K203">
        <v>18.913780212402301</v>
      </c>
      <c r="L203">
        <v>120.00014495849599</v>
      </c>
      <c r="M203">
        <v>0</v>
      </c>
      <c r="N203">
        <v>23.3699550628662</v>
      </c>
      <c r="O203">
        <v>50</v>
      </c>
      <c r="P203">
        <v>49.925975799560597</v>
      </c>
      <c r="Q203">
        <v>6.0206866264343297</v>
      </c>
      <c r="R203">
        <v>5.6004614830017099</v>
      </c>
      <c r="S203">
        <v>6.3000001907348597</v>
      </c>
      <c r="T203" s="4">
        <v>0.598907470703125</v>
      </c>
      <c r="U203">
        <v>9.35</v>
      </c>
      <c r="V203">
        <v>8.5500000000000007</v>
      </c>
      <c r="W203">
        <f t="shared" si="9"/>
        <v>8.6864162063598638</v>
      </c>
      <c r="X203" s="4">
        <f t="shared" si="10"/>
        <v>0.13641620635986307</v>
      </c>
      <c r="Y203" s="4">
        <f t="shared" si="11"/>
        <v>0.44005369810826184</v>
      </c>
      <c r="Z203" s="4">
        <v>0.30999900000000002</v>
      </c>
    </row>
    <row r="204" spans="1:26" x14ac:dyDescent="0.2">
      <c r="A204" t="s">
        <v>231</v>
      </c>
      <c r="B204">
        <v>155.82107543945301</v>
      </c>
      <c r="C204">
        <v>0</v>
      </c>
      <c r="D204">
        <v>152.78883361816401</v>
      </c>
      <c r="E204">
        <v>49.527481079101598</v>
      </c>
      <c r="F204">
        <v>6.0752434730529803</v>
      </c>
      <c r="G204">
        <v>69.207801818847699</v>
      </c>
      <c r="H204">
        <v>120.30003356933599</v>
      </c>
      <c r="I204">
        <v>35.075904846191399</v>
      </c>
      <c r="J204">
        <v>6.0999999046325701</v>
      </c>
      <c r="K204">
        <v>19.1556205749512</v>
      </c>
      <c r="L204">
        <v>120.00046539306599</v>
      </c>
      <c r="M204">
        <v>0</v>
      </c>
      <c r="N204">
        <v>19.1304817199707</v>
      </c>
      <c r="O204">
        <v>50</v>
      </c>
      <c r="P204">
        <v>49.250537872314503</v>
      </c>
      <c r="Q204">
        <v>6.0677947998046902</v>
      </c>
      <c r="R204">
        <v>7.27490186691284</v>
      </c>
      <c r="S204">
        <v>6.2999992370605504</v>
      </c>
      <c r="T204" s="4">
        <v>0.60643076896667503</v>
      </c>
      <c r="U204">
        <v>9.08</v>
      </c>
      <c r="V204">
        <v>8.3000000000000007</v>
      </c>
      <c r="W204">
        <f t="shared" si="9"/>
        <v>8.7955323940157921</v>
      </c>
      <c r="X204" s="4">
        <f t="shared" si="10"/>
        <v>0.49553239401579141</v>
      </c>
      <c r="Y204" s="4">
        <f t="shared" si="11"/>
        <v>1.5984967500404561</v>
      </c>
      <c r="Z204" s="4">
        <v>0.30999900000000002</v>
      </c>
    </row>
    <row r="205" spans="1:26" x14ac:dyDescent="0.2">
      <c r="A205" t="s">
        <v>232</v>
      </c>
      <c r="B205">
        <v>155.34127807617199</v>
      </c>
      <c r="C205">
        <v>0</v>
      </c>
      <c r="D205">
        <v>140.23892211914099</v>
      </c>
      <c r="E205">
        <v>48.287990570068402</v>
      </c>
      <c r="F205">
        <v>6.0648775100707999</v>
      </c>
      <c r="G205">
        <v>72.193145751953097</v>
      </c>
      <c r="H205">
        <v>120.998985290527</v>
      </c>
      <c r="I205">
        <v>37.464324951171903</v>
      </c>
      <c r="J205">
        <v>6.0999999046325701</v>
      </c>
      <c r="K205">
        <v>18.740705490112301</v>
      </c>
      <c r="L205">
        <v>120.00138092041</v>
      </c>
      <c r="M205">
        <v>0</v>
      </c>
      <c r="N205">
        <v>21.864902496337901</v>
      </c>
      <c r="O205">
        <v>50</v>
      </c>
      <c r="P205">
        <v>49.206043243408203</v>
      </c>
      <c r="Q205">
        <v>6.0607438087463397</v>
      </c>
      <c r="R205">
        <v>4.7503566741943404</v>
      </c>
      <c r="S205">
        <v>6.3000001907348597</v>
      </c>
      <c r="T205" s="4">
        <v>0.59598493576049805</v>
      </c>
      <c r="U205">
        <v>9.66</v>
      </c>
      <c r="V205">
        <v>8.84</v>
      </c>
      <c r="W205">
        <f t="shared" si="9"/>
        <v>8.6440284317350375</v>
      </c>
      <c r="X205" s="4">
        <f t="shared" si="10"/>
        <v>-0.19597156826496231</v>
      </c>
      <c r="Y205" s="4">
        <f t="shared" si="11"/>
        <v>-0.63216838849467993</v>
      </c>
      <c r="Z205" s="4">
        <v>0.30999900000000002</v>
      </c>
    </row>
    <row r="206" spans="1:26" x14ac:dyDescent="0.2">
      <c r="A206" t="s">
        <v>233</v>
      </c>
      <c r="B206">
        <v>155.694580078125</v>
      </c>
      <c r="C206">
        <v>0</v>
      </c>
      <c r="D206">
        <v>139.97860717773401</v>
      </c>
      <c r="E206">
        <v>49.480319976806598</v>
      </c>
      <c r="F206">
        <v>6.0881271362304696</v>
      </c>
      <c r="G206">
        <v>72.567573547363295</v>
      </c>
      <c r="H206">
        <v>120.50701141357401</v>
      </c>
      <c r="I206">
        <v>37.6201782226563</v>
      </c>
      <c r="J206">
        <v>6.0999999046325701</v>
      </c>
      <c r="K206">
        <v>18.877870559692401</v>
      </c>
      <c r="L206">
        <v>120.000122070313</v>
      </c>
      <c r="M206">
        <v>0</v>
      </c>
      <c r="N206">
        <v>20.926923751831101</v>
      </c>
      <c r="O206">
        <v>50</v>
      </c>
      <c r="P206">
        <v>48.932079315185597</v>
      </c>
      <c r="Q206">
        <v>6.0881271362304696</v>
      </c>
      <c r="R206">
        <v>5.2384543418884304</v>
      </c>
      <c r="S206">
        <v>6.3000001907348597</v>
      </c>
      <c r="T206" s="4">
        <v>0.59198486804962203</v>
      </c>
      <c r="U206">
        <v>9.4499999999999993</v>
      </c>
      <c r="V206">
        <v>8.64</v>
      </c>
      <c r="W206">
        <f t="shared" si="9"/>
        <v>8.5860123696720656</v>
      </c>
      <c r="X206" s="4">
        <f t="shared" si="10"/>
        <v>-5.3987630327934966E-2</v>
      </c>
      <c r="Y206" s="4">
        <f t="shared" si="11"/>
        <v>-0.17415420800691281</v>
      </c>
      <c r="Z206" s="4">
        <v>0.30999900000000002</v>
      </c>
    </row>
    <row r="207" spans="1:26" x14ac:dyDescent="0.2">
      <c r="A207" t="s">
        <v>234</v>
      </c>
      <c r="B207">
        <v>155.08872985839801</v>
      </c>
      <c r="C207">
        <v>0</v>
      </c>
      <c r="D207">
        <v>138.845626831055</v>
      </c>
      <c r="E207">
        <v>47.564529418945298</v>
      </c>
      <c r="F207">
        <v>6.1129088401794398</v>
      </c>
      <c r="G207">
        <v>70.438232421875</v>
      </c>
      <c r="H207">
        <v>119.75155639648401</v>
      </c>
      <c r="I207">
        <v>39.2359809875488</v>
      </c>
      <c r="J207">
        <v>6.0999999046325701</v>
      </c>
      <c r="K207">
        <v>19.541797637939499</v>
      </c>
      <c r="L207">
        <v>120.00009155273401</v>
      </c>
      <c r="M207">
        <v>0</v>
      </c>
      <c r="N207">
        <v>24.400417327880898</v>
      </c>
      <c r="O207">
        <v>50</v>
      </c>
      <c r="P207">
        <v>50.826713562011697</v>
      </c>
      <c r="Q207">
        <v>6.1198182106018102</v>
      </c>
      <c r="R207">
        <v>7.3831877708435103</v>
      </c>
      <c r="S207">
        <v>6.3000001907348597</v>
      </c>
      <c r="T207" s="4">
        <v>0.600055992603302</v>
      </c>
      <c r="U207">
        <v>9.66</v>
      </c>
      <c r="V207">
        <v>8.44</v>
      </c>
      <c r="W207">
        <f t="shared" si="9"/>
        <v>8.7030741038399935</v>
      </c>
      <c r="X207" s="4">
        <f t="shared" si="10"/>
        <v>0.26307410383999397</v>
      </c>
      <c r="Y207" s="4">
        <f t="shared" si="11"/>
        <v>0.84862887893184802</v>
      </c>
      <c r="Z207" s="4">
        <v>0.30999900000000002</v>
      </c>
    </row>
    <row r="208" spans="1:26" x14ac:dyDescent="0.2">
      <c r="A208" t="s">
        <v>235</v>
      </c>
      <c r="B208">
        <v>155.43124389648401</v>
      </c>
      <c r="C208">
        <v>0</v>
      </c>
      <c r="D208">
        <v>154.75852966308599</v>
      </c>
      <c r="E208">
        <v>47.693759918212898</v>
      </c>
      <c r="F208">
        <v>6.0795555114746103</v>
      </c>
      <c r="G208">
        <v>71.644958496093807</v>
      </c>
      <c r="H208">
        <v>120.79759979248</v>
      </c>
      <c r="I208">
        <v>38.168571472167997</v>
      </c>
      <c r="J208">
        <v>6.0999999046325701</v>
      </c>
      <c r="K208">
        <v>20.539096832275401</v>
      </c>
      <c r="L208">
        <v>120.00022888183599</v>
      </c>
      <c r="M208">
        <v>0</v>
      </c>
      <c r="N208">
        <v>24.010890960693398</v>
      </c>
      <c r="O208">
        <v>50</v>
      </c>
      <c r="P208">
        <v>50.254222869873097</v>
      </c>
      <c r="Q208">
        <v>6.0760421752929696</v>
      </c>
      <c r="R208">
        <v>4.9396414756774902</v>
      </c>
      <c r="S208">
        <v>6.3000001907348597</v>
      </c>
      <c r="T208" s="4">
        <v>0.59576284885406505</v>
      </c>
      <c r="U208">
        <v>9.52</v>
      </c>
      <c r="V208">
        <v>8.7100000000000009</v>
      </c>
      <c r="W208">
        <f t="shared" si="9"/>
        <v>8.6408073343241227</v>
      </c>
      <c r="X208" s="4">
        <f t="shared" si="10"/>
        <v>-6.9192665675878118E-2</v>
      </c>
      <c r="Y208" s="4">
        <f t="shared" si="11"/>
        <v>-0.22320286735079181</v>
      </c>
      <c r="Z208" s="4">
        <v>0.30999900000000002</v>
      </c>
    </row>
    <row r="209" spans="1:26" x14ac:dyDescent="0.2">
      <c r="A209" t="s">
        <v>236</v>
      </c>
      <c r="B209">
        <v>155.90901184082</v>
      </c>
      <c r="C209">
        <v>0</v>
      </c>
      <c r="D209">
        <v>170.04133605957</v>
      </c>
      <c r="E209">
        <v>48.451644897460902</v>
      </c>
      <c r="F209">
        <v>6.0785002708435103</v>
      </c>
      <c r="G209">
        <v>71.764549255371094</v>
      </c>
      <c r="H209">
        <v>120.776527404785</v>
      </c>
      <c r="I209">
        <v>39.842208862304702</v>
      </c>
      <c r="J209">
        <v>6.0999999046325701</v>
      </c>
      <c r="K209">
        <v>20.8418674468994</v>
      </c>
      <c r="L209">
        <v>120.00034332275401</v>
      </c>
      <c r="M209">
        <v>0</v>
      </c>
      <c r="N209">
        <v>24.677801132202202</v>
      </c>
      <c r="O209">
        <v>50</v>
      </c>
      <c r="P209">
        <v>50.2231254577637</v>
      </c>
      <c r="Q209">
        <v>6.0812950134277299</v>
      </c>
      <c r="R209">
        <v>6.7418451309204102</v>
      </c>
      <c r="S209">
        <v>6.3000001907348597</v>
      </c>
      <c r="T209" s="4">
        <v>0.58816456794738803</v>
      </c>
      <c r="U209">
        <v>9.3000000000000007</v>
      </c>
      <c r="V209">
        <v>8.51</v>
      </c>
      <c r="W209">
        <f t="shared" si="9"/>
        <v>8.5306036156582881</v>
      </c>
      <c r="X209" s="4">
        <f t="shared" si="10"/>
        <v>2.0603615658288277E-2</v>
      </c>
      <c r="Y209" s="4">
        <f t="shared" si="11"/>
        <v>6.6463490715416101E-2</v>
      </c>
      <c r="Z209" s="4">
        <v>0.30999900000000002</v>
      </c>
    </row>
    <row r="210" spans="1:26" x14ac:dyDescent="0.2">
      <c r="A210" t="s">
        <v>237</v>
      </c>
      <c r="B210">
        <v>156.60185241699199</v>
      </c>
      <c r="C210">
        <v>0</v>
      </c>
      <c r="D210">
        <v>153.40019226074199</v>
      </c>
      <c r="E210">
        <v>48.709907531738303</v>
      </c>
      <c r="F210">
        <v>6.0940351486206099</v>
      </c>
      <c r="G210">
        <v>75.323959350585895</v>
      </c>
      <c r="H210">
        <v>120.552520751953</v>
      </c>
      <c r="I210">
        <v>37.4288940429688</v>
      </c>
      <c r="J210">
        <v>6.0999999046325701</v>
      </c>
      <c r="K210">
        <v>19.049901962280298</v>
      </c>
      <c r="L210">
        <v>120.001007080078</v>
      </c>
      <c r="M210">
        <v>0</v>
      </c>
      <c r="N210">
        <v>21.411746978759801</v>
      </c>
      <c r="O210">
        <v>50</v>
      </c>
      <c r="P210">
        <v>49.233901977539098</v>
      </c>
      <c r="Q210">
        <v>6.0945529937744096</v>
      </c>
      <c r="R210">
        <v>10.336063385009799</v>
      </c>
      <c r="S210">
        <v>6.3000001907348597</v>
      </c>
      <c r="T210" s="4">
        <v>0.58875977993011497</v>
      </c>
      <c r="U210">
        <v>9.3699999999999992</v>
      </c>
      <c r="V210">
        <v>8.57</v>
      </c>
      <c r="W210">
        <f t="shared" si="9"/>
        <v>8.5392364333570026</v>
      </c>
      <c r="X210" s="4">
        <f t="shared" si="10"/>
        <v>-3.0763566642997731E-2</v>
      </c>
      <c r="Y210" s="4">
        <f t="shared" si="11"/>
        <v>-9.9237631872998708E-2</v>
      </c>
      <c r="Z210" s="4">
        <v>0.30999900000000002</v>
      </c>
    </row>
    <row r="211" spans="1:26" x14ac:dyDescent="0.2">
      <c r="A211" t="s">
        <v>238</v>
      </c>
      <c r="B211">
        <v>155.67590332031301</v>
      </c>
      <c r="C211">
        <v>0</v>
      </c>
      <c r="D211">
        <v>148.68045043945301</v>
      </c>
      <c r="E211">
        <v>48.002483367919901</v>
      </c>
      <c r="F211">
        <v>6.07019138336182</v>
      </c>
      <c r="G211">
        <v>72.5762939453125</v>
      </c>
      <c r="H211">
        <v>119.771942138672</v>
      </c>
      <c r="I211">
        <v>37.168281555175803</v>
      </c>
      <c r="J211">
        <v>6.0999989509582502</v>
      </c>
      <c r="K211">
        <v>19.6221599578857</v>
      </c>
      <c r="L211">
        <v>120.00002288818401</v>
      </c>
      <c r="M211">
        <v>0</v>
      </c>
      <c r="N211">
        <v>22.169965744018601</v>
      </c>
      <c r="O211">
        <v>50</v>
      </c>
      <c r="P211">
        <v>49.9461860656738</v>
      </c>
      <c r="Q211">
        <v>6.0667304992675799</v>
      </c>
      <c r="R211">
        <v>5.8509292602539098</v>
      </c>
      <c r="S211">
        <v>6.2999987602233896</v>
      </c>
      <c r="T211" s="4">
        <v>0.60280877351760898</v>
      </c>
      <c r="U211">
        <v>9.51</v>
      </c>
      <c r="V211">
        <v>8.69</v>
      </c>
      <c r="W211">
        <f t="shared" si="9"/>
        <v>8.7429998050814905</v>
      </c>
      <c r="X211" s="4">
        <f t="shared" si="10"/>
        <v>5.2999805081491047E-2</v>
      </c>
      <c r="Y211" s="4">
        <f t="shared" si="11"/>
        <v>0.17096766467469587</v>
      </c>
      <c r="Z211" s="4">
        <v>0.30999900000000002</v>
      </c>
    </row>
    <row r="212" spans="1:26" x14ac:dyDescent="0.2">
      <c r="A212" t="s">
        <v>239</v>
      </c>
      <c r="B212">
        <v>155.49342346191401</v>
      </c>
      <c r="C212">
        <v>0</v>
      </c>
      <c r="D212">
        <v>145.44949340820301</v>
      </c>
      <c r="E212">
        <v>48.111808776855497</v>
      </c>
      <c r="F212">
        <v>6.1317276954650897</v>
      </c>
      <c r="G212">
        <v>69.698257446289105</v>
      </c>
      <c r="H212">
        <v>119.37558746337901</v>
      </c>
      <c r="I212">
        <v>39.857246398925803</v>
      </c>
      <c r="J212">
        <v>6.0999999046325701</v>
      </c>
      <c r="K212">
        <v>19.988798141479499</v>
      </c>
      <c r="L212">
        <v>120.007026672363</v>
      </c>
      <c r="M212">
        <v>0</v>
      </c>
      <c r="N212">
        <v>23.067070007324201</v>
      </c>
      <c r="O212">
        <v>50</v>
      </c>
      <c r="P212">
        <v>49.9830131530762</v>
      </c>
      <c r="Q212">
        <v>6.1347689628601101</v>
      </c>
      <c r="R212">
        <v>7.1989555358886701</v>
      </c>
      <c r="S212">
        <v>6.3000001907348597</v>
      </c>
      <c r="T212" s="4">
        <v>0.59727942943572998</v>
      </c>
      <c r="U212">
        <v>9.64</v>
      </c>
      <c r="V212">
        <v>8.82</v>
      </c>
      <c r="W212">
        <f t="shared" si="9"/>
        <v>8.6628034702670575</v>
      </c>
      <c r="X212" s="4">
        <f t="shared" si="10"/>
        <v>-0.15719652973294274</v>
      </c>
      <c r="Y212" s="4">
        <f t="shared" si="11"/>
        <v>-0.50708721554889769</v>
      </c>
      <c r="Z212" s="4">
        <v>0.30999900000000002</v>
      </c>
    </row>
    <row r="213" spans="1:26" x14ac:dyDescent="0.2">
      <c r="A213" t="s">
        <v>240</v>
      </c>
      <c r="B213">
        <v>155.28895568847699</v>
      </c>
      <c r="C213">
        <v>0</v>
      </c>
      <c r="D213">
        <v>163.72023010253901</v>
      </c>
      <c r="E213">
        <v>48.166965484619098</v>
      </c>
      <c r="F213">
        <v>6.10825872421265</v>
      </c>
      <c r="G213">
        <v>71.713607788085895</v>
      </c>
      <c r="H213">
        <v>120.003829956055</v>
      </c>
      <c r="I213">
        <v>39.390274047851598</v>
      </c>
      <c r="J213">
        <v>6.0999999046325701</v>
      </c>
      <c r="K213">
        <v>20.4109706878662</v>
      </c>
      <c r="L213">
        <v>120.00032043457</v>
      </c>
      <c r="M213">
        <v>0</v>
      </c>
      <c r="N213">
        <v>24.654422760009801</v>
      </c>
      <c r="O213">
        <v>50</v>
      </c>
      <c r="P213">
        <v>50.316226959228501</v>
      </c>
      <c r="Q213">
        <v>6.1172575950622603</v>
      </c>
      <c r="R213">
        <v>5.6769475936889702</v>
      </c>
      <c r="S213">
        <v>6.3000001907348597</v>
      </c>
      <c r="T213" s="4">
        <v>0.60530251264572099</v>
      </c>
      <c r="U213">
        <v>9.5399999999999991</v>
      </c>
      <c r="V213">
        <v>8.73</v>
      </c>
      <c r="W213">
        <f t="shared" si="9"/>
        <v>8.7791684238356282</v>
      </c>
      <c r="X213" s="4">
        <f t="shared" si="10"/>
        <v>4.9168423835627806E-2</v>
      </c>
      <c r="Y213" s="4">
        <f t="shared" si="11"/>
        <v>0.1586083304643815</v>
      </c>
      <c r="Z213" s="4">
        <v>0.30999900000000002</v>
      </c>
    </row>
    <row r="214" spans="1:26" x14ac:dyDescent="0.2">
      <c r="A214" t="s">
        <v>240</v>
      </c>
      <c r="B214">
        <v>155.28895568847699</v>
      </c>
      <c r="C214">
        <v>0</v>
      </c>
      <c r="D214">
        <v>163.72023010253901</v>
      </c>
      <c r="E214">
        <v>48.166965484619098</v>
      </c>
      <c r="F214">
        <v>6.10825872421265</v>
      </c>
      <c r="G214">
        <v>71.713607788085895</v>
      </c>
      <c r="H214">
        <v>120.003829956055</v>
      </c>
      <c r="I214">
        <v>39.390274047851598</v>
      </c>
      <c r="J214">
        <v>6.0999999046325701</v>
      </c>
      <c r="K214">
        <v>20.4109706878662</v>
      </c>
      <c r="L214">
        <v>120.00032043457</v>
      </c>
      <c r="M214">
        <v>0</v>
      </c>
      <c r="N214">
        <v>24.654422760009801</v>
      </c>
      <c r="O214">
        <v>50</v>
      </c>
      <c r="P214">
        <v>50.316226959228501</v>
      </c>
      <c r="Q214">
        <v>6.1172575950622603</v>
      </c>
      <c r="R214">
        <v>5.6769475936889702</v>
      </c>
      <c r="S214">
        <v>6.3000001907348597</v>
      </c>
      <c r="T214" s="4">
        <v>0.60530251264572099</v>
      </c>
      <c r="U214">
        <v>9.6199999999999992</v>
      </c>
      <c r="V214">
        <v>8.8070000000000004</v>
      </c>
      <c r="W214">
        <f t="shared" si="9"/>
        <v>8.7791684238356282</v>
      </c>
      <c r="X214" s="4">
        <f t="shared" si="10"/>
        <v>-2.7831576164372152E-2</v>
      </c>
      <c r="Y214" s="4">
        <f t="shared" si="11"/>
        <v>-8.9779567561095841E-2</v>
      </c>
      <c r="Z214" s="4">
        <v>0.30999900000000002</v>
      </c>
    </row>
    <row r="215" spans="1:26" x14ac:dyDescent="0.2">
      <c r="A215" t="s">
        <v>241</v>
      </c>
      <c r="B215">
        <v>159.20294189453099</v>
      </c>
      <c r="C215">
        <v>0</v>
      </c>
      <c r="D215">
        <v>178.08535766601599</v>
      </c>
      <c r="E215">
        <v>49.7834663391113</v>
      </c>
      <c r="F215">
        <v>5.9419474601745597</v>
      </c>
      <c r="G215">
        <v>75.550338745117202</v>
      </c>
      <c r="H215">
        <v>125.22518157959</v>
      </c>
      <c r="I215">
        <v>45.171180725097699</v>
      </c>
      <c r="J215">
        <v>5.9629249572753897</v>
      </c>
      <c r="K215">
        <v>21.801578521728501</v>
      </c>
      <c r="L215">
        <v>125.46461486816401</v>
      </c>
      <c r="M215">
        <v>0</v>
      </c>
      <c r="N215">
        <v>19.306991577148398</v>
      </c>
      <c r="O215">
        <v>50</v>
      </c>
      <c r="P215">
        <v>48.760684967041001</v>
      </c>
      <c r="Q215">
        <v>5.9402918815612802</v>
      </c>
      <c r="R215">
        <v>6.3219747543334996</v>
      </c>
      <c r="S215">
        <v>6.16292524337769</v>
      </c>
      <c r="T215" s="4">
        <v>0.54350405931472801</v>
      </c>
      <c r="W215">
        <f t="shared" si="9"/>
        <v>7.8828578703671726</v>
      </c>
      <c r="X215" s="4">
        <f t="shared" si="10"/>
        <v>7.8828578703671726</v>
      </c>
      <c r="Y215" s="4">
        <f t="shared" si="11"/>
        <v>25.428655803299922</v>
      </c>
      <c r="Z215" s="4">
        <v>0.30999900000000002</v>
      </c>
    </row>
    <row r="216" spans="1:26" x14ac:dyDescent="0.2">
      <c r="A216" t="s">
        <v>242</v>
      </c>
      <c r="B216">
        <v>158.49546813964801</v>
      </c>
      <c r="C216">
        <v>0</v>
      </c>
      <c r="D216">
        <v>535.88165283203102</v>
      </c>
      <c r="E216">
        <v>48.426773071289098</v>
      </c>
      <c r="F216">
        <v>6.1284670829773003</v>
      </c>
      <c r="G216">
        <v>73.083053588867202</v>
      </c>
      <c r="H216">
        <v>123.32045745849599</v>
      </c>
      <c r="I216">
        <v>45.341739654541001</v>
      </c>
      <c r="J216">
        <v>6.0535078048706099</v>
      </c>
      <c r="K216">
        <v>90.366607666015597</v>
      </c>
      <c r="L216">
        <v>120.04013061523401</v>
      </c>
      <c r="M216">
        <v>0</v>
      </c>
      <c r="N216">
        <v>23.8826694488525</v>
      </c>
      <c r="O216">
        <v>50</v>
      </c>
      <c r="P216">
        <v>50.091529846191399</v>
      </c>
      <c r="Q216">
        <v>6.1391472816467303</v>
      </c>
      <c r="R216">
        <v>7.2696485519409197</v>
      </c>
      <c r="S216">
        <v>6.2535080909729004</v>
      </c>
      <c r="T216" s="4">
        <v>0.54994583129882801</v>
      </c>
      <c r="U216">
        <v>9.0500000000000007</v>
      </c>
      <c r="V216">
        <v>8.2799999999999994</v>
      </c>
      <c r="W216">
        <f t="shared" si="9"/>
        <v>7.9762878496170027</v>
      </c>
      <c r="X216" s="4">
        <f t="shared" si="10"/>
        <v>-0.3037121503829967</v>
      </c>
      <c r="Y216" s="4">
        <f t="shared" si="11"/>
        <v>-0.97971977452506842</v>
      </c>
      <c r="Z216" s="4">
        <v>0.30999900000000002</v>
      </c>
    </row>
    <row r="217" spans="1:26" x14ac:dyDescent="0.2">
      <c r="A217" t="s">
        <v>243</v>
      </c>
      <c r="B217">
        <v>155.06846618652301</v>
      </c>
      <c r="C217">
        <v>0</v>
      </c>
      <c r="D217">
        <v>156.82931518554699</v>
      </c>
      <c r="E217">
        <v>47.647396087646499</v>
      </c>
      <c r="F217">
        <v>6.0511832237243697</v>
      </c>
      <c r="G217">
        <v>71.9354248046875</v>
      </c>
      <c r="H217">
        <v>120.034217834473</v>
      </c>
      <c r="I217">
        <v>37.831245422363303</v>
      </c>
      <c r="J217">
        <v>6.0999851226806596</v>
      </c>
      <c r="K217">
        <v>21.256532669067401</v>
      </c>
      <c r="L217">
        <v>120.000602722168</v>
      </c>
      <c r="M217">
        <v>0</v>
      </c>
      <c r="N217">
        <v>23.575260162353501</v>
      </c>
      <c r="O217">
        <v>49.996330261230497</v>
      </c>
      <c r="P217">
        <v>50.314163208007798</v>
      </c>
      <c r="Q217">
        <v>6.0539612770080602</v>
      </c>
      <c r="R217">
        <v>5.1078987121581996</v>
      </c>
      <c r="S217">
        <v>6.2999854087829599</v>
      </c>
      <c r="T217" s="4">
        <v>0.59773898124694802</v>
      </c>
      <c r="U217">
        <v>10.39</v>
      </c>
      <c r="V217">
        <v>9.51</v>
      </c>
      <c r="W217">
        <f t="shared" si="9"/>
        <v>8.6694687040400478</v>
      </c>
      <c r="X217" s="4">
        <f t="shared" si="10"/>
        <v>-0.84053129595995202</v>
      </c>
      <c r="Y217" s="4">
        <f t="shared" si="11"/>
        <v>-2.7114000237418572</v>
      </c>
      <c r="Z217" s="4">
        <v>0.30999900000000002</v>
      </c>
    </row>
    <row r="218" spans="1:26" x14ac:dyDescent="0.2">
      <c r="A218" t="s">
        <v>243</v>
      </c>
      <c r="B218">
        <v>155.06846618652301</v>
      </c>
      <c r="C218">
        <v>0</v>
      </c>
      <c r="D218">
        <v>156.82931518554699</v>
      </c>
      <c r="E218">
        <v>47.647396087646499</v>
      </c>
      <c r="F218">
        <v>6.0511832237243697</v>
      </c>
      <c r="G218">
        <v>71.9354248046875</v>
      </c>
      <c r="H218">
        <v>120.034217834473</v>
      </c>
      <c r="I218">
        <v>37.831245422363303</v>
      </c>
      <c r="J218">
        <v>6.0999851226806596</v>
      </c>
      <c r="K218">
        <v>21.256532669067401</v>
      </c>
      <c r="L218">
        <v>120.000602722168</v>
      </c>
      <c r="M218">
        <v>0</v>
      </c>
      <c r="N218">
        <v>23.575260162353501</v>
      </c>
      <c r="O218">
        <v>49.996330261230497</v>
      </c>
      <c r="P218">
        <v>50.314163208007798</v>
      </c>
      <c r="Q218">
        <v>6.0539612770080602</v>
      </c>
      <c r="R218">
        <v>5.1078987121581996</v>
      </c>
      <c r="S218">
        <v>6.2999854087829599</v>
      </c>
      <c r="T218" s="4">
        <v>0.59773898124694802</v>
      </c>
      <c r="U218">
        <v>10.39</v>
      </c>
      <c r="V218">
        <v>9.51</v>
      </c>
      <c r="W218">
        <f t="shared" si="9"/>
        <v>8.6694687040400478</v>
      </c>
      <c r="X218" s="4">
        <f t="shared" si="10"/>
        <v>-0.84053129595995202</v>
      </c>
      <c r="Y218" s="4">
        <f t="shared" si="11"/>
        <v>-2.7114000237418572</v>
      </c>
      <c r="Z218" s="4">
        <v>0.30999900000000002</v>
      </c>
    </row>
    <row r="219" spans="1:26" x14ac:dyDescent="0.2">
      <c r="A219" t="s">
        <v>244</v>
      </c>
      <c r="B219">
        <v>154.61225891113301</v>
      </c>
      <c r="C219">
        <v>0</v>
      </c>
      <c r="D219">
        <v>159.68467712402301</v>
      </c>
      <c r="E219">
        <v>48.542926788330099</v>
      </c>
      <c r="F219">
        <v>6.10302686691284</v>
      </c>
      <c r="G219">
        <v>73.613624572753906</v>
      </c>
      <c r="H219">
        <v>119.86775970459</v>
      </c>
      <c r="I219">
        <v>39.0790405273438</v>
      </c>
      <c r="J219">
        <v>6.0999851226806596</v>
      </c>
      <c r="K219">
        <v>21.566108703613299</v>
      </c>
      <c r="L219">
        <v>120.00039672851599</v>
      </c>
      <c r="M219">
        <v>0</v>
      </c>
      <c r="N219">
        <v>22.312973022460898</v>
      </c>
      <c r="O219">
        <v>49.996330261230497</v>
      </c>
      <c r="P219">
        <v>49.129871368408203</v>
      </c>
      <c r="Q219">
        <v>6.1027774810790998</v>
      </c>
      <c r="R219">
        <v>7.42401075363159</v>
      </c>
      <c r="S219">
        <v>6.2999854087829599</v>
      </c>
      <c r="T219" s="4">
        <v>0.60279840230941795</v>
      </c>
      <c r="U219">
        <v>9.18</v>
      </c>
      <c r="V219">
        <v>8.4</v>
      </c>
      <c r="W219">
        <f t="shared" si="9"/>
        <v>8.7428493834632661</v>
      </c>
      <c r="X219" s="4">
        <f t="shared" si="10"/>
        <v>0.34284938346326577</v>
      </c>
      <c r="Y219" s="4">
        <f t="shared" si="11"/>
        <v>1.105969320750279</v>
      </c>
      <c r="Z219" s="4">
        <v>0.30999900000000002</v>
      </c>
    </row>
    <row r="220" spans="1:26" x14ac:dyDescent="0.2">
      <c r="A220" t="s">
        <v>245</v>
      </c>
      <c r="B220">
        <v>154.72770690918</v>
      </c>
      <c r="C220">
        <v>0</v>
      </c>
      <c r="D220">
        <v>178.83316040039099</v>
      </c>
      <c r="E220">
        <v>47.925235748291001</v>
      </c>
      <c r="F220">
        <v>6.1917409896850604</v>
      </c>
      <c r="G220">
        <v>69.817901611328097</v>
      </c>
      <c r="H220">
        <v>118.584632873535</v>
      </c>
      <c r="I220">
        <v>44.558792114257798</v>
      </c>
      <c r="J220">
        <v>6.0999851226806596</v>
      </c>
      <c r="K220">
        <v>23.439134597778299</v>
      </c>
      <c r="L220">
        <v>120.00001525878901</v>
      </c>
      <c r="M220">
        <v>0</v>
      </c>
      <c r="N220">
        <v>25.524559020996101</v>
      </c>
      <c r="O220">
        <v>49.996330261230497</v>
      </c>
      <c r="P220">
        <v>50.458976745605497</v>
      </c>
      <c r="Q220">
        <v>6.1906714439392099</v>
      </c>
      <c r="R220">
        <v>8.2601976394653303</v>
      </c>
      <c r="S220">
        <v>6.2999854087829599</v>
      </c>
      <c r="T220" s="4">
        <v>0.60193943977356001</v>
      </c>
      <c r="U220">
        <v>9.6</v>
      </c>
      <c r="V220">
        <v>8.7799999999999994</v>
      </c>
      <c r="W220">
        <f t="shared" si="9"/>
        <v>8.7303911884045657</v>
      </c>
      <c r="X220" s="4">
        <f t="shared" si="10"/>
        <v>-4.9608811595433622E-2</v>
      </c>
      <c r="Y220" s="4">
        <f t="shared" si="11"/>
        <v>-0.1600289407237882</v>
      </c>
      <c r="Z220" s="4">
        <v>0.30999900000000002</v>
      </c>
    </row>
    <row r="221" spans="1:26" x14ac:dyDescent="0.2">
      <c r="A221" t="s">
        <v>246</v>
      </c>
      <c r="B221">
        <v>154.65408325195301</v>
      </c>
      <c r="C221">
        <v>0</v>
      </c>
      <c r="D221">
        <v>169.98358154296901</v>
      </c>
      <c r="E221">
        <v>47.773548126220703</v>
      </c>
      <c r="F221">
        <v>6.0567774772643999</v>
      </c>
      <c r="G221">
        <v>72.436019897460895</v>
      </c>
      <c r="H221">
        <v>119.12579345703099</v>
      </c>
      <c r="I221">
        <v>35.163120269775398</v>
      </c>
      <c r="J221">
        <v>6.0999999046325701</v>
      </c>
      <c r="K221">
        <v>21.13645362854</v>
      </c>
      <c r="L221">
        <v>120.00669097900401</v>
      </c>
      <c r="M221">
        <v>0</v>
      </c>
      <c r="N221">
        <v>23.0544624328613</v>
      </c>
      <c r="O221">
        <v>49.996330261230497</v>
      </c>
      <c r="P221">
        <v>49.697059631347699</v>
      </c>
      <c r="Q221">
        <v>6.0572767257690403</v>
      </c>
      <c r="R221">
        <v>4.4749555587768599</v>
      </c>
      <c r="S221">
        <v>6.3000001907348597</v>
      </c>
      <c r="T221" s="4">
        <v>0.596343994140625</v>
      </c>
      <c r="U221">
        <v>9.7100000000000009</v>
      </c>
      <c r="V221">
        <v>8.69</v>
      </c>
      <c r="W221">
        <f t="shared" si="9"/>
        <v>8.6492361318969717</v>
      </c>
      <c r="X221" s="4">
        <f t="shared" si="10"/>
        <v>-4.0763868103027789E-2</v>
      </c>
      <c r="Y221" s="4">
        <f t="shared" si="11"/>
        <v>-0.13149677290258285</v>
      </c>
      <c r="Z221" s="4">
        <v>0.30999900000000002</v>
      </c>
    </row>
    <row r="222" spans="1:26" x14ac:dyDescent="0.2">
      <c r="A222" t="s">
        <v>247</v>
      </c>
      <c r="B222">
        <v>154.60426330566401</v>
      </c>
      <c r="C222">
        <v>0</v>
      </c>
      <c r="D222">
        <v>176.25483703613301</v>
      </c>
      <c r="E222">
        <v>47.878620147705099</v>
      </c>
      <c r="F222">
        <v>6.1224770545959499</v>
      </c>
      <c r="G222">
        <v>73.498054504394503</v>
      </c>
      <c r="H222">
        <v>119.13182067871099</v>
      </c>
      <c r="I222">
        <v>38.636192321777301</v>
      </c>
      <c r="J222">
        <v>6.0999999046325701</v>
      </c>
      <c r="K222">
        <v>20.023542404174801</v>
      </c>
      <c r="L222">
        <v>120.00002288818401</v>
      </c>
      <c r="M222">
        <v>0</v>
      </c>
      <c r="N222">
        <v>24.970258712768601</v>
      </c>
      <c r="O222">
        <v>49.996330261230497</v>
      </c>
      <c r="P222">
        <v>50.301544189453097</v>
      </c>
      <c r="Q222">
        <v>6.1317205429077202</v>
      </c>
      <c r="R222">
        <v>7.6576733589172399</v>
      </c>
      <c r="S222">
        <v>6.3000001907348597</v>
      </c>
      <c r="T222" s="4">
        <v>0.59892547130584695</v>
      </c>
      <c r="U222">
        <v>9.24</v>
      </c>
      <c r="V222">
        <v>8.4600000000000009</v>
      </c>
      <c r="W222">
        <f t="shared" si="9"/>
        <v>8.6866772829616039</v>
      </c>
      <c r="X222" s="4">
        <f t="shared" si="10"/>
        <v>0.22667728296160305</v>
      </c>
      <c r="Y222" s="4">
        <f t="shared" si="11"/>
        <v>0.73121940058388268</v>
      </c>
      <c r="Z222" s="4">
        <v>0.30999900000000002</v>
      </c>
    </row>
    <row r="223" spans="1:26" x14ac:dyDescent="0.2">
      <c r="A223" t="s">
        <v>248</v>
      </c>
      <c r="B223">
        <v>154.74710083007801</v>
      </c>
      <c r="C223">
        <v>0</v>
      </c>
      <c r="D223">
        <v>163.95982360839801</v>
      </c>
      <c r="E223">
        <v>48.324214935302699</v>
      </c>
      <c r="F223">
        <v>6.0834083557128897</v>
      </c>
      <c r="G223">
        <v>72.927047729492202</v>
      </c>
      <c r="H223">
        <v>120.67115783691401</v>
      </c>
      <c r="I223">
        <v>36.887161254882798</v>
      </c>
      <c r="J223">
        <v>6.0999999046325701</v>
      </c>
      <c r="K223">
        <v>19.290695190429702</v>
      </c>
      <c r="L223">
        <v>120.00129699707</v>
      </c>
      <c r="M223">
        <v>0</v>
      </c>
      <c r="N223">
        <v>23.667335510253899</v>
      </c>
      <c r="O223">
        <v>49.996330261230497</v>
      </c>
      <c r="P223">
        <v>49.553890228271499</v>
      </c>
      <c r="Q223">
        <v>6.0834083557128897</v>
      </c>
      <c r="R223">
        <v>8.6285247802734393</v>
      </c>
      <c r="S223">
        <v>6.3000001907348597</v>
      </c>
      <c r="T223" s="4">
        <v>0.58831685781478904</v>
      </c>
      <c r="U223">
        <v>9.1</v>
      </c>
      <c r="V223">
        <v>8.33</v>
      </c>
      <c r="W223">
        <f t="shared" si="9"/>
        <v>8.5328123928684025</v>
      </c>
      <c r="X223" s="4">
        <f t="shared" si="10"/>
        <v>0.20281239286840247</v>
      </c>
      <c r="Y223" s="4">
        <f t="shared" si="11"/>
        <v>0.6542356358194783</v>
      </c>
      <c r="Z223" s="4">
        <v>0.30999900000000002</v>
      </c>
    </row>
    <row r="224" spans="1:26" x14ac:dyDescent="0.2">
      <c r="A224" t="s">
        <v>249</v>
      </c>
      <c r="B224">
        <v>156.71336364746099</v>
      </c>
      <c r="C224">
        <v>0</v>
      </c>
      <c r="D224">
        <v>184.63461303710901</v>
      </c>
      <c r="E224">
        <v>49.045398712158203</v>
      </c>
      <c r="F224">
        <v>6.17311716079712</v>
      </c>
      <c r="G224">
        <v>69.075744628906307</v>
      </c>
      <c r="H224">
        <v>118.75804901123</v>
      </c>
      <c r="I224">
        <v>40.113479614257798</v>
      </c>
      <c r="J224">
        <v>6.0999999046325701</v>
      </c>
      <c r="K224">
        <v>21.468919754028299</v>
      </c>
      <c r="L224">
        <v>120.000595092773</v>
      </c>
      <c r="M224">
        <v>0</v>
      </c>
      <c r="N224">
        <v>23.346103668212901</v>
      </c>
      <c r="O224">
        <v>49.996330261230497</v>
      </c>
      <c r="P224">
        <v>50.275749206542997</v>
      </c>
      <c r="Q224">
        <v>6.17311716079712</v>
      </c>
      <c r="R224">
        <v>4.4809765815734899</v>
      </c>
      <c r="S224">
        <v>6.3000001907348597</v>
      </c>
      <c r="T224" s="4">
        <v>0.60195755958557096</v>
      </c>
      <c r="U224">
        <v>9.7200000000000006</v>
      </c>
      <c r="V224">
        <v>8.89</v>
      </c>
      <c r="W224">
        <f t="shared" si="9"/>
        <v>8.7306539939904155</v>
      </c>
      <c r="X224" s="4">
        <f t="shared" si="10"/>
        <v>-0.15934600600958504</v>
      </c>
      <c r="Y224" s="4">
        <f t="shared" si="11"/>
        <v>-0.51402103235683028</v>
      </c>
      <c r="Z224" s="4">
        <v>0.30999900000000002</v>
      </c>
    </row>
    <row r="225" spans="1:26" x14ac:dyDescent="0.2">
      <c r="A225" t="s">
        <v>250</v>
      </c>
      <c r="B225">
        <v>156.03445434570301</v>
      </c>
      <c r="C225">
        <v>0</v>
      </c>
      <c r="D225">
        <v>169.61614990234401</v>
      </c>
      <c r="E225">
        <v>48.358352661132798</v>
      </c>
      <c r="F225">
        <v>6.1688213348388699</v>
      </c>
      <c r="G225">
        <v>69.200767517089801</v>
      </c>
      <c r="H225">
        <v>118.610488891602</v>
      </c>
      <c r="I225">
        <v>39.959861755371101</v>
      </c>
      <c r="J225">
        <v>6.0999999046325701</v>
      </c>
      <c r="K225">
        <v>19.878215789794901</v>
      </c>
      <c r="L225">
        <v>120.000617980957</v>
      </c>
      <c r="M225">
        <v>0</v>
      </c>
      <c r="N225">
        <v>25.455583572387699</v>
      </c>
      <c r="O225">
        <v>49.996330261230497</v>
      </c>
      <c r="P225">
        <v>51.068294525146499</v>
      </c>
      <c r="Q225">
        <v>6.1688213348388699</v>
      </c>
      <c r="R225">
        <v>7.08325099945068</v>
      </c>
      <c r="S225">
        <v>6.3000001907348597</v>
      </c>
      <c r="T225" s="4">
        <v>0.60113698244094904</v>
      </c>
      <c r="U225">
        <v>9.49</v>
      </c>
      <c r="V225">
        <v>8.68</v>
      </c>
      <c r="W225">
        <f t="shared" si="9"/>
        <v>8.7187525318175627</v>
      </c>
      <c r="X225" s="4">
        <f t="shared" si="10"/>
        <v>3.8752531817562996E-2</v>
      </c>
      <c r="Y225" s="4">
        <f t="shared" si="11"/>
        <v>0.12500857040688193</v>
      </c>
      <c r="Z225" s="4">
        <v>0.30999900000000002</v>
      </c>
    </row>
    <row r="226" spans="1:26" x14ac:dyDescent="0.2">
      <c r="A226" t="s">
        <v>251</v>
      </c>
      <c r="B226">
        <v>155.57534790039099</v>
      </c>
      <c r="C226">
        <v>0</v>
      </c>
      <c r="D226">
        <v>151.43179321289099</v>
      </c>
      <c r="E226">
        <v>48.182846069335902</v>
      </c>
      <c r="F226">
        <v>6.1262168884277299</v>
      </c>
      <c r="G226">
        <v>72.499137878417997</v>
      </c>
      <c r="H226">
        <v>120.190063476563</v>
      </c>
      <c r="I226">
        <v>37.756908416748097</v>
      </c>
      <c r="J226">
        <v>6.0999989509582502</v>
      </c>
      <c r="K226">
        <v>19.907283782958999</v>
      </c>
      <c r="L226">
        <v>120.00025177002</v>
      </c>
      <c r="M226">
        <v>0</v>
      </c>
      <c r="N226">
        <v>22.546981811523398</v>
      </c>
      <c r="O226">
        <v>49.996330261230497</v>
      </c>
      <c r="P226">
        <v>49.793399810791001</v>
      </c>
      <c r="Q226">
        <v>6.1262168884277299</v>
      </c>
      <c r="R226">
        <v>6.6087737083435103</v>
      </c>
      <c r="S226">
        <v>6.2999987602233896</v>
      </c>
      <c r="T226" s="4">
        <v>0.59862899780273404</v>
      </c>
      <c r="U226">
        <v>9.42</v>
      </c>
      <c r="V226">
        <v>8.6199999999999992</v>
      </c>
      <c r="W226">
        <f t="shared" si="9"/>
        <v>8.6823772994613595</v>
      </c>
      <c r="X226" s="4">
        <f t="shared" si="10"/>
        <v>6.237729946136028E-2</v>
      </c>
      <c r="Y226" s="4">
        <f t="shared" si="11"/>
        <v>0.20121774412614324</v>
      </c>
      <c r="Z226" s="4">
        <v>0.30999900000000002</v>
      </c>
    </row>
    <row r="227" spans="1:26" x14ac:dyDescent="0.2">
      <c r="A227" t="s">
        <v>252</v>
      </c>
      <c r="B227">
        <v>155.34291076660199</v>
      </c>
      <c r="C227">
        <v>0</v>
      </c>
      <c r="D227">
        <v>169.18359375</v>
      </c>
      <c r="E227">
        <v>48.287742614746101</v>
      </c>
      <c r="F227">
        <v>6.1021971702575701</v>
      </c>
      <c r="G227">
        <v>71.776252746582003</v>
      </c>
      <c r="H227">
        <v>120.06430816650401</v>
      </c>
      <c r="I227">
        <v>37.871566772460902</v>
      </c>
      <c r="J227">
        <v>6.0999989509582502</v>
      </c>
      <c r="K227">
        <v>20.228427886962901</v>
      </c>
      <c r="L227">
        <v>120.00071716308599</v>
      </c>
      <c r="M227">
        <v>0</v>
      </c>
      <c r="N227">
        <v>24.624599456787099</v>
      </c>
      <c r="O227">
        <v>49.996330261230497</v>
      </c>
      <c r="P227">
        <v>50.282039642333999</v>
      </c>
      <c r="Q227">
        <v>6.1021971702575701</v>
      </c>
      <c r="R227">
        <v>5.1543750762939498</v>
      </c>
      <c r="S227">
        <v>6.2999987602233896</v>
      </c>
      <c r="T227" s="4">
        <v>0.59549009799957298</v>
      </c>
      <c r="U227">
        <v>9.41</v>
      </c>
      <c r="V227">
        <v>8.61</v>
      </c>
      <c r="W227">
        <f t="shared" si="9"/>
        <v>8.6368514186632659</v>
      </c>
      <c r="X227" s="4">
        <f t="shared" si="10"/>
        <v>2.6851418663266458E-2</v>
      </c>
      <c r="Y227" s="4">
        <f t="shared" si="11"/>
        <v>8.6617758971049758E-2</v>
      </c>
      <c r="Z227" s="4">
        <v>0.30999900000000002</v>
      </c>
    </row>
    <row r="228" spans="1:26" x14ac:dyDescent="0.2">
      <c r="A228" t="s">
        <v>253</v>
      </c>
      <c r="B228">
        <v>155.68634033203099</v>
      </c>
      <c r="C228">
        <v>0</v>
      </c>
      <c r="D228">
        <v>157.91819763183599</v>
      </c>
      <c r="E228">
        <v>48.598011016845703</v>
      </c>
      <c r="F228">
        <v>6.09421586990356</v>
      </c>
      <c r="G228">
        <v>73.856353759765597</v>
      </c>
      <c r="H228">
        <v>120.42087554931599</v>
      </c>
      <c r="I228">
        <v>38.333808898925803</v>
      </c>
      <c r="J228">
        <v>6.0999989509582502</v>
      </c>
      <c r="K228">
        <v>19.7826843261719</v>
      </c>
      <c r="L228">
        <v>120.000686645508</v>
      </c>
      <c r="M228">
        <v>0</v>
      </c>
      <c r="N228">
        <v>24.024621963501001</v>
      </c>
      <c r="O228">
        <v>49.996330261230497</v>
      </c>
      <c r="P228">
        <v>50.086959838867202</v>
      </c>
      <c r="Q228">
        <v>6.09421586990356</v>
      </c>
      <c r="R228">
        <v>5.5673298835754403</v>
      </c>
      <c r="S228">
        <v>6.2999987602233896</v>
      </c>
      <c r="T228" s="4">
        <v>0.57319629192352295</v>
      </c>
      <c r="U228">
        <v>9.1</v>
      </c>
      <c r="V228">
        <v>8.33</v>
      </c>
      <c r="W228">
        <f t="shared" si="9"/>
        <v>8.3135071829116338</v>
      </c>
      <c r="X228" s="4">
        <f t="shared" si="10"/>
        <v>-1.6492817088366252E-2</v>
      </c>
      <c r="Y228" s="4">
        <f t="shared" si="11"/>
        <v>-5.3202807390882713E-2</v>
      </c>
      <c r="Z228" s="4">
        <v>0.30999900000000002</v>
      </c>
    </row>
    <row r="229" spans="1:26" x14ac:dyDescent="0.2">
      <c r="A229" t="s">
        <v>254</v>
      </c>
      <c r="B229">
        <v>155.66989135742199</v>
      </c>
      <c r="C229">
        <v>0</v>
      </c>
      <c r="D229">
        <v>145.36302185058599</v>
      </c>
      <c r="E229">
        <v>48.083705902099602</v>
      </c>
      <c r="F229">
        <v>6.1279263496398899</v>
      </c>
      <c r="G229">
        <v>70.639350891113295</v>
      </c>
      <c r="H229">
        <v>119.38597106933599</v>
      </c>
      <c r="I229">
        <v>37.316818237304702</v>
      </c>
      <c r="J229">
        <v>6.0999989509582502</v>
      </c>
      <c r="K229">
        <v>18.8229465484619</v>
      </c>
      <c r="L229">
        <v>120.000495910645</v>
      </c>
      <c r="M229">
        <v>0</v>
      </c>
      <c r="N229">
        <v>23.8603820800781</v>
      </c>
      <c r="O229">
        <v>49.996330261230497</v>
      </c>
      <c r="P229">
        <v>50.939529418945298</v>
      </c>
      <c r="Q229">
        <v>6.1279263496398899</v>
      </c>
      <c r="R229">
        <v>5.6118469238281303</v>
      </c>
      <c r="S229">
        <v>6.2999987602233896</v>
      </c>
      <c r="T229" s="4">
        <v>0.58383131027221702</v>
      </c>
      <c r="U229">
        <v>9.33</v>
      </c>
      <c r="V229">
        <v>8.5399999999999991</v>
      </c>
      <c r="W229">
        <f t="shared" si="9"/>
        <v>8.4677550429868731</v>
      </c>
      <c r="X229" s="4">
        <f t="shared" si="10"/>
        <v>-7.2244957013126054E-2</v>
      </c>
      <c r="Y229" s="4">
        <f t="shared" si="11"/>
        <v>-0.23304900020040725</v>
      </c>
      <c r="Z229" s="4">
        <v>0.30999900000000002</v>
      </c>
    </row>
    <row r="230" spans="1:26" x14ac:dyDescent="0.2">
      <c r="A230" t="s">
        <v>255</v>
      </c>
      <c r="B230">
        <v>158.07737731933599</v>
      </c>
      <c r="C230">
        <v>0</v>
      </c>
      <c r="D230">
        <v>139.74969482421901</v>
      </c>
      <c r="E230">
        <v>48.581047058105497</v>
      </c>
      <c r="F230">
        <v>6.1770601272582999</v>
      </c>
      <c r="G230">
        <v>74.072601318359403</v>
      </c>
      <c r="H230">
        <v>120.20411682128901</v>
      </c>
      <c r="I230">
        <v>1.0260525941848799</v>
      </c>
      <c r="J230">
        <v>6.1805696487426802</v>
      </c>
      <c r="K230">
        <v>17.841709136962901</v>
      </c>
      <c r="L230">
        <v>120.50034332275401</v>
      </c>
      <c r="M230">
        <v>62.685188293457003</v>
      </c>
      <c r="N230">
        <v>23.1122150421143</v>
      </c>
      <c r="O230">
        <v>49.996330261230497</v>
      </c>
      <c r="P230">
        <v>50.676692962646499</v>
      </c>
      <c r="Q230">
        <v>6.1770601272582999</v>
      </c>
      <c r="R230">
        <v>5.1648063659668004</v>
      </c>
      <c r="S230">
        <v>6.3329114913940403</v>
      </c>
      <c r="T230" s="4">
        <v>0.56358057260513295</v>
      </c>
      <c r="W230">
        <f t="shared" si="9"/>
        <v>8.174043001533148</v>
      </c>
      <c r="X230" s="4">
        <f t="shared" si="10"/>
        <v>8.174043001533148</v>
      </c>
      <c r="Y230" s="4">
        <f t="shared" si="11"/>
        <v>26.367965708060822</v>
      </c>
      <c r="Z230" s="4">
        <v>0.30999900000000002</v>
      </c>
    </row>
    <row r="231" spans="1:26" x14ac:dyDescent="0.2">
      <c r="A231" t="s">
        <v>256</v>
      </c>
      <c r="B231">
        <v>156.67393493652301</v>
      </c>
      <c r="C231">
        <v>0</v>
      </c>
      <c r="D231">
        <v>164.46429443359401</v>
      </c>
      <c r="E231">
        <v>48.8492240905762</v>
      </c>
      <c r="F231">
        <v>6.2983140945434597</v>
      </c>
      <c r="G231">
        <v>74.845390319824205</v>
      </c>
      <c r="H231">
        <v>120.394775390625</v>
      </c>
      <c r="I231">
        <v>35.886318206787102</v>
      </c>
      <c r="J231">
        <v>6.3000001907348597</v>
      </c>
      <c r="K231">
        <v>19.6731357574463</v>
      </c>
      <c r="L231">
        <v>120.50034332275401</v>
      </c>
      <c r="M231">
        <v>0</v>
      </c>
      <c r="N231">
        <v>22.633955001831101</v>
      </c>
      <c r="O231">
        <v>49.996330261230497</v>
      </c>
      <c r="P231">
        <v>49.931636810302699</v>
      </c>
      <c r="Q231">
        <v>6.2983140945434597</v>
      </c>
      <c r="R231">
        <v>8.5198459625244105</v>
      </c>
      <c r="S231">
        <v>6.5</v>
      </c>
      <c r="T231" s="4">
        <v>0.57740837335586603</v>
      </c>
      <c r="U231">
        <v>9.25</v>
      </c>
      <c r="V231">
        <v>8.4700000000000006</v>
      </c>
      <c r="W231">
        <f t="shared" si="9"/>
        <v>8.3745982432276094</v>
      </c>
      <c r="X231" s="4">
        <f t="shared" si="10"/>
        <v>-9.5401756772391266E-2</v>
      </c>
      <c r="Y231" s="4">
        <f t="shared" si="11"/>
        <v>-0.30774859522898868</v>
      </c>
      <c r="Z231" s="4">
        <v>0.30999900000000002</v>
      </c>
    </row>
    <row r="232" spans="1:26" x14ac:dyDescent="0.2">
      <c r="A232" t="s">
        <v>257</v>
      </c>
      <c r="B232">
        <v>155.67950439453099</v>
      </c>
      <c r="C232">
        <v>0</v>
      </c>
      <c r="D232">
        <v>163.39587402343801</v>
      </c>
      <c r="E232">
        <v>48.809097290039098</v>
      </c>
      <c r="F232">
        <v>6.1240420341491699</v>
      </c>
      <c r="G232">
        <v>72.028694152832003</v>
      </c>
      <c r="H232">
        <v>120.314247131348</v>
      </c>
      <c r="I232">
        <v>40.502071380615199</v>
      </c>
      <c r="J232">
        <v>6.0999870300293004</v>
      </c>
      <c r="K232">
        <v>19.816677093505898</v>
      </c>
      <c r="L232">
        <v>120.00119781494099</v>
      </c>
      <c r="M232">
        <v>0</v>
      </c>
      <c r="N232">
        <v>24.391166687011701</v>
      </c>
      <c r="O232">
        <v>49.996330261230497</v>
      </c>
      <c r="P232">
        <v>50.204757690429702</v>
      </c>
      <c r="Q232">
        <v>6.1240420341491699</v>
      </c>
      <c r="R232">
        <v>5.6427493095398003</v>
      </c>
      <c r="S232">
        <v>6.29998731613159</v>
      </c>
      <c r="T232" s="4">
        <v>0.59011626243591297</v>
      </c>
      <c r="U232">
        <v>9.24</v>
      </c>
      <c r="V232">
        <v>8.4600000000000009</v>
      </c>
      <c r="W232">
        <f t="shared" si="9"/>
        <v>8.5589105436301214</v>
      </c>
      <c r="X232" s="4">
        <f t="shared" si="10"/>
        <v>9.8910543630120529E-2</v>
      </c>
      <c r="Y232" s="4">
        <f t="shared" si="11"/>
        <v>0.31906729902393399</v>
      </c>
      <c r="Z232" s="4">
        <v>0.30999900000000002</v>
      </c>
    </row>
    <row r="233" spans="1:26" x14ac:dyDescent="0.2">
      <c r="A233" t="s">
        <v>258</v>
      </c>
      <c r="B233">
        <v>155.22622680664099</v>
      </c>
      <c r="C233">
        <v>0</v>
      </c>
      <c r="D233">
        <v>175.61297607421901</v>
      </c>
      <c r="E233">
        <v>48.706912994384801</v>
      </c>
      <c r="F233">
        <v>6.0857114791870099</v>
      </c>
      <c r="G233">
        <v>72.805435180664105</v>
      </c>
      <c r="H233">
        <v>119.577766418457</v>
      </c>
      <c r="I233">
        <v>42.010993957519503</v>
      </c>
      <c r="J233">
        <v>6.0999870300293004</v>
      </c>
      <c r="K233">
        <v>21.237281799316399</v>
      </c>
      <c r="L233">
        <v>120.00114440918</v>
      </c>
      <c r="M233">
        <v>0</v>
      </c>
      <c r="N233">
        <v>22.910779953002901</v>
      </c>
      <c r="O233">
        <v>50</v>
      </c>
      <c r="P233">
        <v>49.435859680175803</v>
      </c>
      <c r="Q233">
        <v>6.0857114791870099</v>
      </c>
      <c r="R233">
        <v>6.1817126274108896</v>
      </c>
      <c r="S233">
        <v>6.29998731613159</v>
      </c>
      <c r="T233" s="4">
        <v>0.60411190986633301</v>
      </c>
      <c r="U233">
        <v>9.66</v>
      </c>
      <c r="V233">
        <v>8.84</v>
      </c>
      <c r="W233">
        <f t="shared" si="9"/>
        <v>8.7619001949620241</v>
      </c>
      <c r="X233" s="4">
        <f t="shared" si="10"/>
        <v>-7.8099805037975756E-2</v>
      </c>
      <c r="Y233" s="4">
        <f t="shared" si="11"/>
        <v>-0.25193566765691422</v>
      </c>
      <c r="Z233" s="4">
        <v>0.30999900000000002</v>
      </c>
    </row>
    <row r="234" spans="1:26" x14ac:dyDescent="0.2">
      <c r="A234" t="s">
        <v>259</v>
      </c>
      <c r="B234">
        <v>155.6435546875</v>
      </c>
      <c r="C234">
        <v>0</v>
      </c>
      <c r="D234">
        <v>157.13447570800801</v>
      </c>
      <c r="E234">
        <v>48.402378082275398</v>
      </c>
      <c r="F234">
        <v>6.1141724586486799</v>
      </c>
      <c r="G234">
        <v>72.761169433593807</v>
      </c>
      <c r="H234">
        <v>120.41757965087901</v>
      </c>
      <c r="I234">
        <v>41.864166259765597</v>
      </c>
      <c r="J234">
        <v>6.0999870300293004</v>
      </c>
      <c r="K234">
        <v>19.7660617828369</v>
      </c>
      <c r="L234">
        <v>120.000770568848</v>
      </c>
      <c r="M234">
        <v>0</v>
      </c>
      <c r="N234">
        <v>22.9105224609375</v>
      </c>
      <c r="O234">
        <v>50</v>
      </c>
      <c r="P234">
        <v>49.732448577880902</v>
      </c>
      <c r="Q234">
        <v>6.1141724586486799</v>
      </c>
      <c r="R234">
        <v>7.3242449760437003</v>
      </c>
      <c r="S234">
        <v>6.29998731613159</v>
      </c>
      <c r="T234" s="4">
        <v>0.58610087633132901</v>
      </c>
      <c r="U234">
        <v>9.44</v>
      </c>
      <c r="V234">
        <v>8.64</v>
      </c>
      <c r="W234">
        <f t="shared" si="9"/>
        <v>8.5006723071080401</v>
      </c>
      <c r="X234" s="4">
        <f t="shared" si="10"/>
        <v>-0.13932769289196045</v>
      </c>
      <c r="Y234" s="4">
        <f t="shared" si="11"/>
        <v>-0.44944562044380931</v>
      </c>
      <c r="Z234" s="4">
        <v>0.30999900000000002</v>
      </c>
    </row>
    <row r="235" spans="1:26" x14ac:dyDescent="0.2">
      <c r="A235" t="s">
        <v>260</v>
      </c>
      <c r="B235">
        <v>156.09555053710901</v>
      </c>
      <c r="C235">
        <v>0</v>
      </c>
      <c r="D235">
        <v>164.78691101074199</v>
      </c>
      <c r="E235">
        <v>48.590290069580099</v>
      </c>
      <c r="F235">
        <v>6.1052870750427299</v>
      </c>
      <c r="G235">
        <v>74.5477294921875</v>
      </c>
      <c r="H235">
        <v>120.013641357422</v>
      </c>
      <c r="I235">
        <v>41.777454376220703</v>
      </c>
      <c r="J235">
        <v>6.0999894142150897</v>
      </c>
      <c r="K235">
        <v>19.814702987670898</v>
      </c>
      <c r="L235">
        <v>120.00025939941401</v>
      </c>
      <c r="M235">
        <v>0</v>
      </c>
      <c r="N235">
        <v>22.753414154052699</v>
      </c>
      <c r="O235">
        <v>50</v>
      </c>
      <c r="P235">
        <v>50.059230804443402</v>
      </c>
      <c r="Q235">
        <v>6.1052870750427299</v>
      </c>
      <c r="R235">
        <v>10.4205055236816</v>
      </c>
      <c r="S235">
        <v>6.2999897003173801</v>
      </c>
      <c r="T235" s="4">
        <v>0.58094394207000699</v>
      </c>
      <c r="U235">
        <v>9.32</v>
      </c>
      <c r="V235">
        <v>8.52</v>
      </c>
      <c r="W235">
        <f t="shared" si="9"/>
        <v>8.4258773186767044</v>
      </c>
      <c r="X235" s="4">
        <f t="shared" si="10"/>
        <v>-9.4122681323295154E-2</v>
      </c>
      <c r="Y235" s="4">
        <f t="shared" si="11"/>
        <v>-0.30362253208331363</v>
      </c>
      <c r="Z235" s="4">
        <v>0.30999900000000002</v>
      </c>
    </row>
  </sheetData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TrainB+SC38014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Elengical, Steve</cp:lastModifiedBy>
  <cp:revision>1</cp:revision>
  <dcterms:created xsi:type="dcterms:W3CDTF">2025-08-19T18:10:23Z</dcterms:created>
  <dcterms:modified xsi:type="dcterms:W3CDTF">2025-12-05T15:59:59Z</dcterms:modified>
  <dc:language>en-US</dc:language>
</cp:coreProperties>
</file>